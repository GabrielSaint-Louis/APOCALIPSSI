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rde" sheetId="1" state="visible" r:id="rId3"/>
    <sheet name="Identification" sheetId="2" state="visible" r:id="rId4"/>
    <sheet name="Release Planning" sheetId="3" state="visible" r:id="rId5"/>
    <sheet name="Burnup global" sheetId="4" state="visible" r:id="rId6"/>
    <sheet name="Auto-évalu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<sst xmlns="http://schemas.openxmlformats.org/spreadsheetml/2006/main" count="196" uniqueCount="156">
  <si>
    <t xml:space="preserve">A</t>
  </si>
  <si>
    <t xml:space="preserve">APOCAL'IPSSI</t>
  </si>
  <si>
    <t xml:space="preserve">CADRAGE MATINAL · ARTEFACT 5 SUR 7</t>
  </si>
  <si>
    <t xml:space="preserve">Release Planning</t>
  </si>
  <si>
    <t xml:space="preserve">Planning des 7 sprints demi-journée et des 2 releases d'EduTutor IA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</si>
  <si>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</si>
  <si>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</si>
  <si>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</si>
  <si>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</si>
  <si>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</si>
  <si>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21</t>
  </si>
  <si>
    <t xml:space="preserve">Membres</t>
  </si>
  <si>
    <t xml:space="preserve">Nicolas CATALUNA, Celia MERABET, Monica RADIFERA RASAMOELIJAONA, Nolan LEFEBVRE, Ilham KADRI, Gabriel SAINT-LOUIS</t>
  </si>
  <si>
    <t xml:space="preserve">Sprint concerné</t>
  </si>
  <si>
    <t xml:space="preserve">Cadrage</t>
  </si>
  <si>
    <t xml:space="preserve">Version</t>
  </si>
  <si>
    <t xml:space="preserve">v1.0</t>
  </si>
  <si>
    <t xml:space="preserve">Date de remise</t>
  </si>
  <si>
    <t xml:space="preserve">29/06/2026 13h00</t>
  </si>
  <si>
    <t xml:space="preserve">Statut</t>
  </si>
  <si>
    <t xml:space="preserve">Draft</t>
  </si>
  <si>
    <t xml:space="preserve">💡 Convention de nommage du fichier :</t>
  </si>
  <si>
    <t xml:space="preserve">equipe-21-release-planning-v1.0.xlsx </t>
  </si>
  <si>
    <t xml:space="preserve">RELEASE PLANNING : SEMAINE APOCAL'IPSSI 2026</t>
  </si>
  <si>
    <t xml:space="preserve">7 sprints × demi-journée + cadrage matinal + soutenance vendredi</t>
  </si>
  <si>
    <t xml:space="preserve">💡 OBJECTIF</t>
  </si>
  <si>
    <t xml:space="preserve">Vue d'ensemble de la semaine : objectif et stories engagées par sprint, capacité réaliste, vélocité cible.</t>
  </si>
  <si>
    <t xml:space="preserve">📐 FORMAT</t>
  </si>
  <si>
    <t xml:space="preserve">9 lignes (Cadrage + 7 sprints + Soutenance) × 8 colonnes. Tag US-XX en colonne stories pour traçabilité Product Backlog.</t>
  </si>
  <si>
    <t xml:space="preserve">✅ BON</t>
  </si>
  <si>
    <t xml:space="preserve">« Sprint 1 : Objectif = setup MVP F1 + F2 · Capacité 28 h-pers · Vélocité 10 SP · Stories US-01, US-02 »</t>
  </si>
  <si>
    <t xml:space="preserve">❌ À ÉVITER</t>
  </si>
  <si>
    <t xml:space="preserve">« Sprint 1 : faire du progrès » (ni mesurable, ni vérifiable en revue de sprint)</t>
  </si>
  <si>
    <t xml:space="preserve">Sprint</t>
  </si>
  <si>
    <t xml:space="preserve">Jour</t>
  </si>
  <si>
    <t xml:space="preserve">Horaires</t>
  </si>
  <si>
    <t xml:space="preserve">Capacité (h-pers)</t>
  </si>
  <si>
    <t xml:space="preserve">Vélocité cible (SP)</t>
  </si>
  <si>
    <t xml:space="preserve">Objectif sprint</t>
  </si>
  <si>
    <t xml:space="preserve">Stories engagées</t>
  </si>
  <si>
    <t xml:space="preserve">Release / Jalon</t>
  </si>
  <si>
    <t xml:space="preserve">Lundi matin</t>
  </si>
  <si>
    <t xml:space="preserve">9h00 – 13h30</t>
  </si>
  <si>
    <t xml:space="preserve">n.c.</t>
  </si>
  <si>
    <t xml:space="preserve">Produire les 7 artefacts agiles (Vision, Personas, Customer Journey, Story Map, Release Planning, Product Backlog, Sprint Backlog)</t>
  </si>
  <si>
    <t xml:space="preserve">📋 Validation PO 14h00</t>
  </si>
  <si>
    <t xml:space="preserve">Sprint 1</t>
  </si>
  <si>
    <t xml:space="preserve">Lundi PM</t>
  </si>
  <si>
    <t xml:space="preserve">14h00 – 18h00</t>
  </si>
  <si>
    <t xml:space="preserve">10</t>
  </si>
  <si>
    <t xml:space="preserve">Setup technique + démarrage MVP (F1 inscription, F2 upload cours)</t>
  </si>
  <si>
    <t xml:space="preserve">US-01, US-02</t>
  </si>
  <si>
    <t xml:space="preserve">🟦 Sprint Review 18h</t>
  </si>
  <si>
    <t xml:space="preserve">Sprint 2</t>
  </si>
  <si>
    <t xml:space="preserve">Mardi matin</t>
  </si>
  <si>
    <t xml:space="preserve">9h00 – 12h30</t>
  </si>
  <si>
    <t xml:space="preserve">8-10</t>
  </si>
  <si>
    <t xml:space="preserve">Génération quiz F3 (Llama 3.1 8B via Ollama), perturbation J2 (latence)</t>
  </si>
  <si>
    <t xml:space="preserve">US-03</t>
  </si>
  <si>
    <t xml:space="preserve">⚡ Perturbation J2 à 10h</t>
  </si>
  <si>
    <t xml:space="preserve">Sprint 3</t>
  </si>
  <si>
    <t xml:space="preserve">Mardi PM</t>
  </si>
  <si>
    <t xml:space="preserve">Correction + scoring F4/F5 + intégration ADR-J2</t>
  </si>
  <si>
    <t xml:space="preserve">US-04, US-05</t>
  </si>
  <si>
    <t xml:space="preserve">Sprint 4</t>
  </si>
  <si>
    <t xml:space="preserve">Mercredi matin</t>
  </si>
  <si>
    <t xml:space="preserve">Historique F6 + sécurisation prompt injection (perturbation J3)</t>
  </si>
  <si>
    <t xml:space="preserve">US-06 + patch sécurité</t>
  </si>
  <si>
    <t xml:space="preserve">⚡ Perturbation J3 à 10h</t>
  </si>
  <si>
    <t xml:space="preserve">Sprint 5</t>
  </si>
  <si>
    <t xml:space="preserve">Mercredi PM</t>
  </si>
  <si>
    <t xml:space="preserve">Conformité RGPD SAR (J3-bis) + finalisation MVP F1-F6</t>
  </si>
  <si>
    <t xml:space="preserve">US-08 (export RGPD) + correctifs</t>
  </si>
  <si>
    <t xml:space="preserve">⚡ J3-bis 14h · 🚀 Release 1 (MVP) 17h45</t>
  </si>
  <si>
    <t xml:space="preserve">Sprint 6</t>
  </si>
  <si>
    <t xml:space="preserve">Jeudi matin</t>
  </si>
  <si>
    <t xml:space="preserve">8</t>
  </si>
  <si>
    <t xml:space="preserve">Stories Release 2 (2-3 pistes choisies), crise utilisateur J4</t>
  </si>
  <si>
    <t xml:space="preserve">US-07, US-09</t>
  </si>
  <si>
    <t xml:space="preserve">⚡ Perturbation J4 à 10h</t>
  </si>
  <si>
    <t xml:space="preserve">Sprint 7</t>
  </si>
  <si>
    <t xml:space="preserve">Jeudi PM</t>
  </si>
  <si>
    <t xml:space="preserve">14h00 – 17h00</t>
  </si>
  <si>
    <t xml:space="preserve">6-8</t>
  </si>
  <si>
    <t xml:space="preserve">Finalisation Release 2 + post-mortem J4 + démo prête</t>
  </si>
  <si>
    <t xml:space="preserve">US-10 + post-mortem</t>
  </si>
  <si>
    <t xml:space="preserve">🚀 Release 2 17h</t>
  </si>
  <si>
    <t xml:space="preserve">Soutenance</t>
  </si>
  <si>
    <t xml:space="preserve">Vendredi</t>
  </si>
  <si>
    <t xml:space="preserve">Selon planning</t>
  </si>
  <si>
    <t xml:space="preserve">Pitch (15 min) + démo live MVP + Release 2 + retour réflexif sur les 5 perturbations + Q/R jury</t>
  </si>
  <si>
    <t xml:space="preserve">🎤 Soutenance + délibération</t>
  </si>
  <si>
    <t xml:space="preserve">TOTAL semaine</t>
  </si>
  <si>
    <t xml:space="preserve">~ 50-60 SP</t>
  </si>
  <si>
    <t xml:space="preserve">Capacité totale = 174 h-pers (équipe de 6 personnes)</t>
  </si>
  <si>
    <t xml:space="preserve">📌 LÉGENDE</t>
  </si>
  <si>
    <t xml:space="preserve">🟦 Sprint Review</t>
  </si>
  <si>
    <t xml:space="preserve">Démo des stories à la fin du sprint + validation PO</t>
  </si>
  <si>
    <t xml:space="preserve">⚡ Perturbation</t>
  </si>
  <si>
    <t xml:space="preserve">Événement imprévu déclenché par l'équipe pédagogique, voir page Perturbations du site</t>
  </si>
  <si>
    <t xml:space="preserve">🚀 Release</t>
  </si>
  <si>
    <t xml:space="preserve">Livraison incrément potentiellement déployable (tag Git + démo enregistrable)</t>
  </si>
  <si>
    <t xml:space="preserve">🎤 Soutenance</t>
  </si>
  <si>
    <t xml:space="preserve">Pitch + démo + retour réflexif + Q/R jury (vendredi)</t>
  </si>
  <si>
    <t xml:space="preserve">BURNUP GLOBAL : SEMAINE APOCAL'IPSSI 2026</t>
  </si>
  <si>
    <t xml:space="preserve">Trajectoire des story points livrés vs scope total sur les 7 sprints</t>
  </si>
  <si>
    <t xml:space="preserve">💡 BURNUP vs BURNDOWN</t>
  </si>
  <si>
    <t xml:space="preserve">Le BURNUP trace les SP livrés cumulés (montant), avec une ligne distincte pour le scope total (qui peut bouger). Différent du burndown qui trace seulement le restant.</t>
  </si>
  <si>
    <t xml:space="preserve">✅ AVANTAGE BURNUP</t>
  </si>
  <si>
    <t xml:space="preserve">Visible quand le scope augmente (perturbations qui ajoutent du travail), un simple burndown masquerait ce signal.</t>
  </si>
  <si>
    <t xml:space="preserve">📐 LECTURE</t>
  </si>
  <si>
    <t xml:space="preserve">Idéal : ligne droite progressive. Réel : à reporter après chaque Sprint Review. Si l'écart Réel-Idéal se creuse → alerte.</t>
  </si>
  <si>
    <t xml:space="preserve">Fin de sprint</t>
  </si>
  <si>
    <t xml:space="preserve">SP livrés (idéal)</t>
  </si>
  <si>
    <t xml:space="preserve">SP livrés (réel)</t>
  </si>
  <si>
    <t xml:space="preserve">Scope total</t>
  </si>
  <si>
    <t xml:space="preserve">Sprint 0</t>
  </si>
  <si>
    <t xml:space="preserve">Lun 13h30</t>
  </si>
  <si>
    <t xml:space="preserve">[à compléter]</t>
  </si>
  <si>
    <t xml:space="preserve">56 (scope initial)</t>
  </si>
  <si>
    <t xml:space="preserve">Lun 18h</t>
  </si>
  <si>
    <t xml:space="preserve">56</t>
  </si>
  <si>
    <t xml:space="preserve">Mar 12h30</t>
  </si>
  <si>
    <t xml:space="preserve">Mar 18h</t>
  </si>
  <si>
    <t xml:space="preserve">Mer 12h30</t>
  </si>
  <si>
    <t xml:space="preserve">Mer 18h</t>
  </si>
  <si>
    <t xml:space="preserve">56 + [perturbations cumulées]</t>
  </si>
  <si>
    <t xml:space="preserve">Jeu 12h30</t>
  </si>
  <si>
    <t xml:space="preserve">56 + [...]</t>
  </si>
  <si>
    <t xml:space="preserve">Jeu 17h</t>
  </si>
  <si>
    <t xml:space="preserve">📊 INSÉRER UN GRAPHIQUE</t>
  </si>
  <si>
    <t xml:space="preserve">Sélectionnez les colonnes Fin de sprint / Idéal / Réel / Scope, puis menu Excel : Insertion &gt; Graphique en courbes. Format conseillé : 3 séries (idéal en pointillés, réel en plein, scope en filled area).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</si>
  <si>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</si>
  <si>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</si>
  <si>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</si>
  <si>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</si>
  <si>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</si>
  <si>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Les 7 sprints sont planifiés avec jour, horaires et capacité (h-pers) chiffrée</t>
  </si>
  <si>
    <t xml:space="preserve">✅ Oui   ☐ Partiel   ☐ Non</t>
  </si>
  <si>
    <t xml:space="preserve">9 lignes planifiées avec jour, horaires et capacités</t>
  </si>
  <si>
    <t xml:space="preserve">L'équipe taille est explicite (ex. 7 personnes), pas de capacité "floue"</t>
  </si>
  <si>
    <t xml:space="preserve">6 personnes, capacités recalculées (174 h-pers)</t>
  </si>
  <si>
    <t xml:space="preserve">Chaque sprint a un objectif clair, mesurable, livrable en démo</t>
  </si>
  <si>
    <t xml:space="preserve">Chaque sprint a un objectif SMART lié aux features F1-F6</t>
  </si>
  <si>
    <t xml:space="preserve">Chaque sprint liste au moins 1 user story engagée (tag US-XX du Product Backlog)</t>
  </si>
  <si>
    <t xml:space="preserve">US-01 à US-06 engagées + stories R2 sprints 6-7</t>
  </si>
  <si>
    <t xml:space="preserve">La Release 1 (MVP) est explicitement positionnée à la fin du Sprint 5 (mercredi 17h45)</t>
  </si>
  <si>
    <t xml:space="preserve">Release 1 (MVP) positionnée Sprint 5 · mercredi 17h45</t>
  </si>
  <si>
    <t xml:space="preserve">La Release 2 est explicitement positionnée à la fin du Sprint 7 (jeudi 17h)</t>
  </si>
  <si>
    <t xml:space="preserve">Release 2 positionnée Sprint 7 · jeudi 17h</t>
  </si>
  <si>
    <t xml:space="preserve">Les 5 perturbations sont positionnées sur le planning aux bons créneaux</t>
  </si>
  <si>
    <t xml:space="preserve">J2 (mar 10h), J3 (mer 10h), J3-bis (mer 14h), J4 (jeu 10h)</t>
  </si>
  <si>
    <t xml:space="preserve">La feuille Burnup global est remplie avec un scope initial chiffré (~50-60 SP)</t>
  </si>
  <si>
    <t xml:space="preserve">Scope initial = 56 SP, burnup rempli</t>
  </si>
  <si>
    <t xml:space="preserve">Le Release Planning a été co-construit en équipe (toutes les voix entendues)</t>
  </si>
  <si>
    <t xml:space="preserve">Co-construit par l'équipe 21 lors du cadrage matinal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</si>
</sst>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2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theme="1"/>
      <name val="Cambria"/>
      <family val="0"/>
    </font>
    <font>
      <b val="true"/>
      <sz val="14"/>
      <color theme="1"/>
      <name val="Cambria"/>
      <family val="0"/>
    </font>
    <font>
      <b val="true"/>
      <sz val="10"/>
      <color theme="1"/>
      <name val="Cambria"/>
      <family val="0"/>
    </font>
    <font>
      <b val="true"/>
      <sz val="24"/>
      <color theme="1"/>
      <name val="Cambria"/>
      <family val="0"/>
    </font>
    <font>
      <i val="true"/>
      <sz val="12"/>
      <color theme="1"/>
      <name val="Cambria"/>
      <family val="0"/>
    </font>
    <font>
      <b val="true"/>
      <sz val="11"/>
      <color theme="1"/>
      <name val="Cambria"/>
      <family val="0"/>
    </font>
    <font>
      <i val="true"/>
      <sz val="9"/>
      <color theme="1"/>
      <name val="Cambria"/>
      <family val="0"/>
    </font>
    <font>
      <b val="true"/>
      <sz val="12"/>
      <color theme="1"/>
      <name val="Cambria"/>
      <family val="0"/>
    </font>
    <font>
      <i val="true"/>
      <sz val="10"/>
      <color theme="1"/>
      <name val="Cambria"/>
      <family val="0"/>
    </font>
    <font>
      <b val="true"/>
      <sz val="11"/>
      <color theme="1"/>
      <name val="Cambria"/>
      <family val="0"/>
    </font>
    <font>
      <sz val="10"/>
      <color theme="1"/>
      <name val="Inter"/>
      <family val="0"/>
    </font>
    <font>
      <b val="true"/>
      <sz val="9"/>
      <color theme="1"/>
      <name val="Cambria"/>
      <family val="0"/>
    </font>
    <font>
      <b val="true"/>
      <sz val="18"/>
      <color theme="1"/>
      <name val="Cambria"/>
      <family val="0"/>
    </font>
    <font>
      <b val="true"/>
      <sz val="10"/>
      <color theme="1"/>
      <name val="Cambria"/>
      <family val="0"/>
    </font>
    <font>
      <b val="true"/>
      <sz val="10"/>
      <color theme="1"/>
      <name val="Cambria"/>
      <family val="0"/>
    </font>
    <font>
      <b val="true"/>
      <sz val="11"/>
      <color theme="1"/>
      <name val="Cambria"/>
      <family val="0"/>
    </font>
    <font>
      <sz val="10"/>
      <color theme="1"/>
      <name val="Cambria"/>
      <family val="0"/>
    </font>
    <font>
      <sz val="10"/>
      <color theme="1"/>
      <name val="Inter"/>
      <family val="0"/>
    </font>
    <font>
      <b val="true"/>
      <sz val="11"/>
      <color theme="1"/>
      <name val="Inter"/>
      <family val="0"/>
    </font>
    <font>
      <sz val="10"/>
      <color theme="1"/>
      <name val="Cambria"/>
      <family val="0"/>
    </font>
    <font>
      <sz val="10"/>
      <color theme="1"/>
      <name val="Cambria"/>
      <family val="0"/>
    </font>
    <font>
      <sz val="10"/>
      <color theme="1"/>
      <name val="Cambria"/>
      <family val="0"/>
    </font>
    <font>
      <b val="true"/>
      <sz val="10"/>
      <color theme="1"/>
      <name val="Cambria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theme="1"/>
      <name val="Inter"/>
      <family val="0"/>
    </font>
    <font>
      <sz val="11"/>
      <color theme="1"/>
      <name val="Inter"/>
      <family val="0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EF3C7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0E7FF"/>
      <rgbColor rgb="FFFFFBEB"/>
      <rgbColor rgb="FF99CCFF"/>
      <rgbColor rgb="FFFF99CC"/>
      <rgbColor rgb="FFCC99FF"/>
      <rgbColor rgb="FFF8FAFC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fr-FR" sz="1800" spc="-1" strike="noStrike">
                <a:solidFill>
                  <a:srgbClr val="000000"/>
                </a:solidFill>
                <a:latin typeface="Calibri"/>
              </a:rPr>
              <a:t>Burnup Global · Équipe 21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'Burnup global'!$C$8</c:f>
              <c:strCache>
                <c:ptCount val="1"/>
                <c:pt idx="0">
                  <c:v>SP livrés (idéal)</c:v>
                </c:pt>
              </c:strCache>
            </c:strRef>
          </c:tx>
          <c:spPr>
            <a:solidFill>
              <a:srgbClr val="1e1b4b"/>
            </a:solidFill>
            <a:ln cap="rnd" w="20160">
              <a:solidFill>
                <a:srgbClr val="1e1b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fr-FR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'Burnup global'!$B$9:$B$16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'Burnup global'!$C$9:$C$16</c:f>
              <c:numCache>
                <c:formatCode>General</c:formatCode>
                <c:ptCount val="8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'Burnup global'!$D$8</c:f>
              <c:strCache>
                <c:ptCount val="1"/>
                <c:pt idx="0">
                  <c:v>SP livrés (réel)</c:v>
                </c:pt>
              </c:strCache>
            </c:strRef>
          </c:tx>
          <c:spPr>
            <a:solidFill>
              <a:srgbClr val="f59e0b"/>
            </a:solidFill>
            <a:ln cap="rnd" w="24840">
              <a:solidFill>
                <a:srgbClr val="f59e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fr-FR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'Burnup global'!$B$9:$B$16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'Burnup global'!$D$9:$D$16</c:f>
              <c:numCache>
                <c:formatCode>General</c:formatCode>
                <c:ptCount val="8"/>
              </c:numCache>
            </c:numRef>
          </c:val>
          <c:smooth val="1"/>
        </c:ser>
        <c:ser>
          <c:idx val="2"/>
          <c:order val="2"/>
          <c:tx>
            <c:strRef>
              <c:f>'Burnup global'!$E$8</c:f>
              <c:strCache>
                <c:ptCount val="1"/>
                <c:pt idx="0">
                  <c:v>Scope total</c:v>
                </c:pt>
              </c:strCache>
            </c:strRef>
          </c:tx>
          <c:spPr>
            <a:solidFill>
              <a:srgbClr val="dcfce7"/>
            </a:solidFill>
            <a:ln cap="rnd" w="15120">
              <a:solidFill>
                <a:srgbClr val="dcfce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lang="fr-FR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'Burnup global'!$B$9:$B$16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'Burnup global'!$E$9:$E$16</c:f>
              <c:numCache>
                <c:formatCode>General</c:formatCode>
                <c:ptCount val="8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628359"/>
        <c:axId val="74283318"/>
      </c:lineChart>
      <c:catAx>
        <c:axId val="45628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lang="fr-F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83318"/>
        <c:crosses val="autoZero"/>
        <c:auto val="1"/>
        <c:lblAlgn val="ctr"/>
        <c:lblOffset val="100"/>
        <c:noMultiLvlLbl val="0"/>
      </c:catAx>
      <c:valAx>
        <c:axId val="74283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lang="fr-F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28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lang="fr-FR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101160</xdr:rowOff>
    </xdr:from>
    <xdr:to>
      <xdr:col>8</xdr:col>
      <xdr:colOff>23040</xdr:colOff>
      <xdr:row>48</xdr:row>
      <xdr:rowOff>52560</xdr:rowOff>
    </xdr:to>
    <xdr:graphicFrame>
      <xdr:nvGraphicFramePr>
        <xdr:cNvPr id="0" name="Chart 1"/>
        <xdr:cNvGraphicFramePr/>
      </xdr:nvGraphicFramePr>
      <xdr:xfrm>
        <a:off x="0" y="4506120"/>
        <a:ext cx="8985960" cy="4840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578125" defaultRowHeight="12.8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1" customFormat="false" ht="13.8" hidden="false" customHeight="false" outlineLevel="0" collapsed="false"/>
    <row r="2" customFormat="false" ht="85.8" hidden="false" customHeight="false" outlineLevel="0" collapsed="false">
      <c r="B2" s="1" t="s">
        <v>0</v>
      </c>
    </row>
    <row r="3" customFormat="false" ht="13.8" hidden="false" customHeight="false" outlineLevel="0" collapsed="false"/>
    <row r="4" customFormat="false" ht="17.4" hidden="false" customHeight="false" outlineLevel="0" collapsed="false">
      <c r="B4" s="2" t="s">
        <v>1</v>
      </c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>
      <c r="B8" s="3" t="s">
        <v>2</v>
      </c>
    </row>
    <row r="9" customFormat="false" ht="13.8" hidden="false" customHeight="false" outlineLevel="0" collapsed="false"/>
    <row r="10" customFormat="false" ht="29.15" hidden="false" customHeight="false" outlineLevel="0" collapsed="false">
      <c r="B10" s="4" t="s">
        <v>3</v>
      </c>
    </row>
    <row r="11" customFormat="false" ht="13.8" hidden="false" customHeight="false" outlineLevel="0" collapsed="false"/>
    <row r="12" customFormat="false" ht="15" hidden="false" customHeight="false" outlineLevel="0" collapsed="false">
      <c r="B12" s="5" t="s">
        <v>4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>
      <c r="B20" s="6" t="s">
        <v>5</v>
      </c>
    </row>
    <row r="21" customFormat="false" ht="13.8" hidden="false" customHeight="false" outlineLevel="0" collapsed="false">
      <c r="B21" s="7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578125" defaultRowHeight="12.8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60"/>
  </cols>
  <sheetData>
    <row r="1" customFormat="false" ht="13.8" hidden="false" customHeight="false" outlineLevel="0" collapsed="false"/>
    <row r="2" customFormat="false" ht="15" hidden="false" customHeight="false" outlineLevel="0" collapsed="false">
      <c r="B2" s="8" t="s">
        <v>7</v>
      </c>
    </row>
    <row r="3" customFormat="false" ht="13.8" hidden="false" customHeight="false" outlineLevel="0" collapsed="false">
      <c r="B3" s="9" t="s">
        <v>8</v>
      </c>
    </row>
    <row r="4" customFormat="false" ht="13.8" hidden="false" customHeight="false" outlineLevel="0" collapsed="false"/>
    <row r="5" customFormat="false" ht="21.75" hidden="false" customHeight="true" outlineLevel="0" collapsed="false">
      <c r="B5" s="10" t="s">
        <v>9</v>
      </c>
      <c r="C5" s="11" t="s">
        <v>10</v>
      </c>
    </row>
    <row r="6" customFormat="false" ht="21.75" hidden="false" customHeight="true" outlineLevel="0" collapsed="false">
      <c r="B6" s="10" t="s">
        <v>11</v>
      </c>
      <c r="C6" s="11" t="s">
        <v>12</v>
      </c>
    </row>
    <row r="7" customFormat="false" ht="21.75" hidden="false" customHeight="true" outlineLevel="0" collapsed="false">
      <c r="B7" s="10" t="s">
        <v>13</v>
      </c>
      <c r="C7" s="11" t="s">
        <v>14</v>
      </c>
    </row>
    <row r="8" customFormat="false" ht="21.75" hidden="false" customHeight="true" outlineLevel="0" collapsed="false">
      <c r="B8" s="10" t="s">
        <v>15</v>
      </c>
      <c r="C8" s="11" t="s">
        <v>16</v>
      </c>
    </row>
    <row r="9" customFormat="false" ht="21.75" hidden="false" customHeight="true" outlineLevel="0" collapsed="false">
      <c r="B9" s="10" t="s">
        <v>17</v>
      </c>
      <c r="C9" s="11" t="s">
        <v>18</v>
      </c>
    </row>
    <row r="10" customFormat="false" ht="21.75" hidden="false" customHeight="true" outlineLevel="0" collapsed="false">
      <c r="B10" s="10" t="s">
        <v>19</v>
      </c>
      <c r="C10" s="11" t="s">
        <v>20</v>
      </c>
    </row>
    <row r="11" customFormat="false" ht="13.8" hidden="false" customHeight="false" outlineLevel="0" collapsed="false"/>
    <row r="12" customFormat="false" ht="13.8" hidden="false" customHeight="false" outlineLevel="0" collapsed="false">
      <c r="B12" s="12" t="s">
        <v>21</v>
      </c>
    </row>
    <row r="13" customFormat="false" ht="13.8" hidden="false" customHeight="false" outlineLevel="0" collapsed="false">
      <c r="B13" s="7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578125" defaultRowHeight="12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38"/>
    <col collapsed="false" customWidth="true" hidden="false" outlineLevel="0" max="7" min="7" style="0" width="28"/>
    <col collapsed="false" customWidth="true" hidden="false" outlineLevel="0" max="8" min="8" style="0" width="22"/>
  </cols>
  <sheetData>
    <row r="1" customFormat="false" ht="22.05" hidden="false" customHeight="false" outlineLevel="0" collapsed="false">
      <c r="A1" s="13" t="s">
        <v>23</v>
      </c>
    </row>
    <row r="2" customFormat="false" ht="13.8" hidden="false" customHeight="false" outlineLevel="0" collapsed="false">
      <c r="A2" s="9" t="s">
        <v>24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3" t="s">
        <v>25</v>
      </c>
      <c r="B4" s="9" t="s">
        <v>26</v>
      </c>
    </row>
    <row r="5" customFormat="false" ht="13.8" hidden="false" customHeight="false" outlineLevel="0" collapsed="false">
      <c r="A5" s="3" t="s">
        <v>27</v>
      </c>
      <c r="B5" s="9" t="s">
        <v>28</v>
      </c>
    </row>
    <row r="6" customFormat="false" ht="13.8" hidden="false" customHeight="false" outlineLevel="0" collapsed="false">
      <c r="A6" s="14" t="s">
        <v>29</v>
      </c>
      <c r="B6" s="9" t="s">
        <v>30</v>
      </c>
    </row>
    <row r="7" customFormat="false" ht="13.8" hidden="false" customHeight="false" outlineLevel="0" collapsed="false">
      <c r="A7" s="15" t="s">
        <v>31</v>
      </c>
      <c r="B7" s="9" t="s">
        <v>32</v>
      </c>
    </row>
    <row r="8" customFormat="false" ht="13.8" hidden="false" customHeight="false" outlineLevel="0" collapsed="false"/>
    <row r="9" customFormat="false" ht="31.3" hidden="false" customHeight="false" outlineLevel="0" collapsed="false">
      <c r="A9" s="16" t="s">
        <v>33</v>
      </c>
      <c r="B9" s="16" t="s">
        <v>34</v>
      </c>
      <c r="C9" s="16" t="s">
        <v>35</v>
      </c>
      <c r="D9" s="16" t="s">
        <v>36</v>
      </c>
      <c r="E9" s="16" t="s">
        <v>37</v>
      </c>
      <c r="F9" s="16" t="s">
        <v>38</v>
      </c>
      <c r="G9" s="16" t="s">
        <v>39</v>
      </c>
      <c r="H9" s="16" t="s">
        <v>40</v>
      </c>
    </row>
    <row r="10" customFormat="false" ht="45" hidden="false" customHeight="true" outlineLevel="0" collapsed="false">
      <c r="A10" s="17" t="s">
        <v>14</v>
      </c>
      <c r="B10" s="18" t="s">
        <v>41</v>
      </c>
      <c r="C10" s="18" t="s">
        <v>42</v>
      </c>
      <c r="D10" s="19" t="n">
        <v>21</v>
      </c>
      <c r="E10" s="20" t="s">
        <v>43</v>
      </c>
      <c r="F10" s="18" t="s">
        <v>44</v>
      </c>
      <c r="G10" s="18" t="s">
        <v>43</v>
      </c>
      <c r="H10" s="18" t="s">
        <v>45</v>
      </c>
    </row>
    <row r="11" customFormat="false" ht="45" hidden="false" customHeight="true" outlineLevel="0" collapsed="false">
      <c r="A11" s="21" t="s">
        <v>46</v>
      </c>
      <c r="B11" s="22" t="s">
        <v>47</v>
      </c>
      <c r="C11" s="22" t="s">
        <v>48</v>
      </c>
      <c r="D11" s="23" t="n">
        <v>24</v>
      </c>
      <c r="E11" s="24" t="s">
        <v>49</v>
      </c>
      <c r="F11" s="22" t="s">
        <v>50</v>
      </c>
      <c r="G11" s="22" t="s">
        <v>51</v>
      </c>
      <c r="H11" s="22" t="s">
        <v>52</v>
      </c>
    </row>
    <row r="12" customFormat="false" ht="45" hidden="false" customHeight="true" outlineLevel="0" collapsed="false">
      <c r="A12" s="25" t="s">
        <v>53</v>
      </c>
      <c r="B12" s="26" t="s">
        <v>54</v>
      </c>
      <c r="C12" s="26" t="s">
        <v>55</v>
      </c>
      <c r="D12" s="27" t="n">
        <v>21</v>
      </c>
      <c r="E12" s="28" t="s">
        <v>56</v>
      </c>
      <c r="F12" s="26" t="s">
        <v>57</v>
      </c>
      <c r="G12" s="26" t="s">
        <v>58</v>
      </c>
      <c r="H12" s="26" t="s">
        <v>59</v>
      </c>
    </row>
    <row r="13" customFormat="false" ht="45" hidden="false" customHeight="true" outlineLevel="0" collapsed="false">
      <c r="A13" s="21" t="s">
        <v>60</v>
      </c>
      <c r="B13" s="22" t="s">
        <v>61</v>
      </c>
      <c r="C13" s="22" t="s">
        <v>48</v>
      </c>
      <c r="D13" s="23" t="n">
        <v>24</v>
      </c>
      <c r="E13" s="24" t="s">
        <v>49</v>
      </c>
      <c r="F13" s="22" t="s">
        <v>62</v>
      </c>
      <c r="G13" s="22" t="s">
        <v>63</v>
      </c>
      <c r="H13" s="22" t="s">
        <v>52</v>
      </c>
    </row>
    <row r="14" customFormat="false" ht="45" hidden="false" customHeight="true" outlineLevel="0" collapsed="false">
      <c r="A14" s="25" t="s">
        <v>64</v>
      </c>
      <c r="B14" s="26" t="s">
        <v>65</v>
      </c>
      <c r="C14" s="26" t="s">
        <v>55</v>
      </c>
      <c r="D14" s="27" t="n">
        <v>21</v>
      </c>
      <c r="E14" s="28" t="s">
        <v>56</v>
      </c>
      <c r="F14" s="26" t="s">
        <v>66</v>
      </c>
      <c r="G14" s="26" t="s">
        <v>67</v>
      </c>
      <c r="H14" s="26" t="s">
        <v>68</v>
      </c>
    </row>
    <row r="15" customFormat="false" ht="45" hidden="false" customHeight="true" outlineLevel="0" collapsed="false">
      <c r="A15" s="29" t="s">
        <v>69</v>
      </c>
      <c r="B15" s="30" t="s">
        <v>70</v>
      </c>
      <c r="C15" s="30" t="s">
        <v>48</v>
      </c>
      <c r="D15" s="31" t="n">
        <v>24</v>
      </c>
      <c r="E15" s="32" t="s">
        <v>56</v>
      </c>
      <c r="F15" s="30" t="s">
        <v>71</v>
      </c>
      <c r="G15" s="30" t="s">
        <v>72</v>
      </c>
      <c r="H15" s="30" t="s">
        <v>73</v>
      </c>
    </row>
    <row r="16" customFormat="false" ht="45" hidden="false" customHeight="true" outlineLevel="0" collapsed="false">
      <c r="A16" s="25" t="s">
        <v>74</v>
      </c>
      <c r="B16" s="26" t="s">
        <v>75</v>
      </c>
      <c r="C16" s="26" t="s">
        <v>55</v>
      </c>
      <c r="D16" s="27" t="n">
        <v>21</v>
      </c>
      <c r="E16" s="28" t="s">
        <v>76</v>
      </c>
      <c r="F16" s="26" t="s">
        <v>77</v>
      </c>
      <c r="G16" s="26" t="s">
        <v>78</v>
      </c>
      <c r="H16" s="26" t="s">
        <v>79</v>
      </c>
    </row>
    <row r="17" customFormat="false" ht="45" hidden="false" customHeight="true" outlineLevel="0" collapsed="false">
      <c r="A17" s="29" t="s">
        <v>80</v>
      </c>
      <c r="B17" s="30" t="s">
        <v>81</v>
      </c>
      <c r="C17" s="30" t="s">
        <v>82</v>
      </c>
      <c r="D17" s="31" t="n">
        <v>18</v>
      </c>
      <c r="E17" s="32" t="s">
        <v>83</v>
      </c>
      <c r="F17" s="30" t="s">
        <v>84</v>
      </c>
      <c r="G17" s="30" t="s">
        <v>85</v>
      </c>
      <c r="H17" s="30" t="s">
        <v>86</v>
      </c>
    </row>
    <row r="18" customFormat="false" ht="45" hidden="false" customHeight="true" outlineLevel="0" collapsed="false">
      <c r="A18" s="33" t="s">
        <v>87</v>
      </c>
      <c r="B18" s="34" t="s">
        <v>88</v>
      </c>
      <c r="C18" s="34" t="s">
        <v>89</v>
      </c>
      <c r="D18" s="35" t="s">
        <v>43</v>
      </c>
      <c r="E18" s="35" t="s">
        <v>43</v>
      </c>
      <c r="F18" s="34" t="s">
        <v>90</v>
      </c>
      <c r="G18" s="34" t="s">
        <v>43</v>
      </c>
      <c r="H18" s="34" t="s">
        <v>91</v>
      </c>
    </row>
    <row r="19" customFormat="false" ht="13.8" hidden="false" customHeight="false" outlineLevel="0" collapsed="false">
      <c r="A19" s="36" t="s">
        <v>92</v>
      </c>
      <c r="B19" s="37"/>
      <c r="C19" s="37"/>
      <c r="D19" s="38" t="n">
        <f aca="false">SUM(D10:D18)</f>
        <v>174</v>
      </c>
      <c r="E19" s="36" t="s">
        <v>93</v>
      </c>
      <c r="F19" s="39" t="s">
        <v>94</v>
      </c>
      <c r="G19" s="37"/>
      <c r="H19" s="37"/>
    </row>
    <row r="20" customFormat="false" ht="13.8" hidden="false" customHeight="false" outlineLevel="0" collapsed="false"/>
    <row r="21" customFormat="false" ht="13.8" hidden="false" customHeight="false" outlineLevel="0" collapsed="false">
      <c r="A21" s="3" t="s">
        <v>95</v>
      </c>
    </row>
    <row r="22" customFormat="false" ht="13.8" hidden="false" customHeight="false" outlineLevel="0" collapsed="false">
      <c r="A22" s="40" t="s">
        <v>96</v>
      </c>
      <c r="B22" s="9" t="s">
        <v>97</v>
      </c>
    </row>
    <row r="23" customFormat="false" ht="13.8" hidden="false" customHeight="false" outlineLevel="0" collapsed="false">
      <c r="A23" s="41" t="s">
        <v>98</v>
      </c>
      <c r="B23" s="9" t="s">
        <v>99</v>
      </c>
    </row>
    <row r="24" customFormat="false" ht="13.8" hidden="false" customHeight="false" outlineLevel="0" collapsed="false">
      <c r="A24" s="42" t="s">
        <v>100</v>
      </c>
      <c r="B24" s="9" t="s">
        <v>101</v>
      </c>
    </row>
    <row r="25" customFormat="false" ht="13.8" hidden="false" customHeight="false" outlineLevel="0" collapsed="false">
      <c r="A25" s="43" t="s">
        <v>102</v>
      </c>
      <c r="B25" s="9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578125" defaultRowHeight="12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24"/>
  </cols>
  <sheetData>
    <row r="1" customFormat="false" ht="22.05" hidden="false" customHeight="false" outlineLevel="0" collapsed="false">
      <c r="A1" s="13" t="s">
        <v>104</v>
      </c>
    </row>
    <row r="2" customFormat="false" ht="13.8" hidden="false" customHeight="false" outlineLevel="0" collapsed="false">
      <c r="A2" s="9" t="s">
        <v>105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3" t="s">
        <v>106</v>
      </c>
      <c r="B4" s="9" t="s">
        <v>107</v>
      </c>
    </row>
    <row r="5" customFormat="false" ht="13.8" hidden="false" customHeight="false" outlineLevel="0" collapsed="false">
      <c r="A5" s="14" t="s">
        <v>108</v>
      </c>
      <c r="B5" s="9" t="s">
        <v>109</v>
      </c>
    </row>
    <row r="6" customFormat="false" ht="13.8" hidden="false" customHeight="false" outlineLevel="0" collapsed="false">
      <c r="A6" s="3" t="s">
        <v>110</v>
      </c>
      <c r="B6" s="9" t="s">
        <v>111</v>
      </c>
    </row>
    <row r="7" customFormat="false" ht="13.8" hidden="false" customHeight="false" outlineLevel="0" collapsed="false"/>
    <row r="8" customFormat="false" ht="16.4" hidden="false" customHeight="false" outlineLevel="0" collapsed="false">
      <c r="A8" s="16" t="s">
        <v>33</v>
      </c>
      <c r="B8" s="16" t="s">
        <v>112</v>
      </c>
      <c r="C8" s="16" t="s">
        <v>113</v>
      </c>
      <c r="D8" s="16" t="s">
        <v>114</v>
      </c>
      <c r="E8" s="16" t="s">
        <v>115</v>
      </c>
    </row>
    <row r="9" customFormat="false" ht="24.75" hidden="false" customHeight="true" outlineLevel="0" collapsed="false">
      <c r="A9" s="44" t="s">
        <v>116</v>
      </c>
      <c r="B9" s="45" t="s">
        <v>117</v>
      </c>
      <c r="C9" s="45" t="n">
        <v>0</v>
      </c>
      <c r="D9" s="45" t="s">
        <v>118</v>
      </c>
      <c r="E9" s="45" t="s">
        <v>119</v>
      </c>
    </row>
    <row r="10" customFormat="false" ht="24.75" hidden="false" customHeight="true" outlineLevel="0" collapsed="false">
      <c r="A10" s="44" t="s">
        <v>46</v>
      </c>
      <c r="B10" s="45" t="s">
        <v>120</v>
      </c>
      <c r="C10" s="45" t="n">
        <v>8</v>
      </c>
      <c r="D10" s="45" t="s">
        <v>118</v>
      </c>
      <c r="E10" s="45" t="s">
        <v>121</v>
      </c>
    </row>
    <row r="11" customFormat="false" ht="24.75" hidden="false" customHeight="true" outlineLevel="0" collapsed="false">
      <c r="A11" s="44" t="s">
        <v>53</v>
      </c>
      <c r="B11" s="45" t="s">
        <v>122</v>
      </c>
      <c r="C11" s="45" t="n">
        <v>16</v>
      </c>
      <c r="D11" s="45" t="s">
        <v>118</v>
      </c>
      <c r="E11" s="45" t="s">
        <v>121</v>
      </c>
    </row>
    <row r="12" customFormat="false" ht="24.75" hidden="false" customHeight="true" outlineLevel="0" collapsed="false">
      <c r="A12" s="44" t="s">
        <v>60</v>
      </c>
      <c r="B12" s="45" t="s">
        <v>123</v>
      </c>
      <c r="C12" s="45" t="n">
        <v>24</v>
      </c>
      <c r="D12" s="45" t="s">
        <v>118</v>
      </c>
      <c r="E12" s="45" t="s">
        <v>121</v>
      </c>
    </row>
    <row r="13" customFormat="false" ht="24.75" hidden="false" customHeight="true" outlineLevel="0" collapsed="false">
      <c r="A13" s="44" t="s">
        <v>64</v>
      </c>
      <c r="B13" s="45" t="s">
        <v>124</v>
      </c>
      <c r="C13" s="45" t="n">
        <v>32</v>
      </c>
      <c r="D13" s="45" t="s">
        <v>118</v>
      </c>
      <c r="E13" s="45" t="s">
        <v>121</v>
      </c>
    </row>
    <row r="14" customFormat="false" ht="24.75" hidden="false" customHeight="true" outlineLevel="0" collapsed="false">
      <c r="A14" s="44" t="s">
        <v>69</v>
      </c>
      <c r="B14" s="45" t="s">
        <v>125</v>
      </c>
      <c r="C14" s="45" t="n">
        <v>40</v>
      </c>
      <c r="D14" s="45" t="s">
        <v>118</v>
      </c>
      <c r="E14" s="45" t="s">
        <v>126</v>
      </c>
    </row>
    <row r="15" customFormat="false" ht="24.75" hidden="false" customHeight="true" outlineLevel="0" collapsed="false">
      <c r="A15" s="44" t="s">
        <v>74</v>
      </c>
      <c r="B15" s="45" t="s">
        <v>127</v>
      </c>
      <c r="C15" s="45" t="n">
        <v>48</v>
      </c>
      <c r="D15" s="45" t="s">
        <v>118</v>
      </c>
      <c r="E15" s="45" t="s">
        <v>128</v>
      </c>
    </row>
    <row r="16" customFormat="false" ht="24.75" hidden="false" customHeight="true" outlineLevel="0" collapsed="false">
      <c r="A16" s="44" t="s">
        <v>80</v>
      </c>
      <c r="B16" s="45" t="s">
        <v>129</v>
      </c>
      <c r="C16" s="45" t="n">
        <v>56</v>
      </c>
      <c r="D16" s="45" t="s">
        <v>118</v>
      </c>
      <c r="E16" s="45" t="s">
        <v>128</v>
      </c>
    </row>
    <row r="17" customFormat="false" ht="13.8" hidden="false" customHeight="false" outlineLevel="0" collapsed="false"/>
    <row r="18" customFormat="false" ht="13.8" hidden="false" customHeight="false" outlineLevel="0" collapsed="false">
      <c r="A18" s="3" t="s">
        <v>130</v>
      </c>
      <c r="B18" s="7" t="s">
        <v>131</v>
      </c>
    </row>
    <row r="19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578125" defaultRowHeight="12.8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5"/>
    <col collapsed="false" customWidth="true" hidden="false" outlineLevel="0" max="4" min="4" style="0" width="40"/>
  </cols>
  <sheetData>
    <row r="1" customFormat="false" ht="13.8" hidden="false" customHeight="false" outlineLevel="0" collapsed="false"/>
    <row r="2" customFormat="false" ht="17.4" hidden="false" customHeight="false" outlineLevel="0" collapsed="false">
      <c r="B2" s="2" t="s">
        <v>132</v>
      </c>
    </row>
    <row r="3" customFormat="false" ht="13.8" hidden="false" customHeight="false" outlineLevel="0" collapsed="false">
      <c r="B3" s="9" t="s">
        <v>133</v>
      </c>
    </row>
    <row r="4" customFormat="false" ht="13.8" hidden="false" customHeight="false" outlineLevel="0" collapsed="false"/>
    <row r="5" customFormat="false" ht="16.4" hidden="false" customHeight="false" outlineLevel="0" collapsed="false">
      <c r="A5" s="16"/>
      <c r="B5" s="16" t="s">
        <v>134</v>
      </c>
      <c r="C5" s="16" t="s">
        <v>135</v>
      </c>
      <c r="D5" s="46" t="s">
        <v>136</v>
      </c>
    </row>
    <row r="6" customFormat="false" ht="30" hidden="false" customHeight="true" outlineLevel="0" collapsed="false">
      <c r="B6" s="47" t="s">
        <v>137</v>
      </c>
      <c r="C6" s="48" t="s">
        <v>138</v>
      </c>
      <c r="D6" s="49" t="s">
        <v>139</v>
      </c>
    </row>
    <row r="7" customFormat="false" ht="30" hidden="false" customHeight="true" outlineLevel="0" collapsed="false">
      <c r="B7" s="47" t="s">
        <v>140</v>
      </c>
      <c r="C7" s="48" t="s">
        <v>138</v>
      </c>
      <c r="D7" s="49" t="s">
        <v>141</v>
      </c>
    </row>
    <row r="8" customFormat="false" ht="30" hidden="false" customHeight="true" outlineLevel="0" collapsed="false">
      <c r="B8" s="47" t="s">
        <v>142</v>
      </c>
      <c r="C8" s="48" t="s">
        <v>138</v>
      </c>
      <c r="D8" s="49" t="s">
        <v>143</v>
      </c>
    </row>
    <row r="9" customFormat="false" ht="30" hidden="false" customHeight="true" outlineLevel="0" collapsed="false">
      <c r="B9" s="47" t="s">
        <v>144</v>
      </c>
      <c r="C9" s="48" t="s">
        <v>138</v>
      </c>
      <c r="D9" s="49" t="s">
        <v>145</v>
      </c>
    </row>
    <row r="10" customFormat="false" ht="30" hidden="false" customHeight="true" outlineLevel="0" collapsed="false">
      <c r="B10" s="47" t="s">
        <v>146</v>
      </c>
      <c r="C10" s="48" t="s">
        <v>138</v>
      </c>
      <c r="D10" s="49" t="s">
        <v>147</v>
      </c>
    </row>
    <row r="11" customFormat="false" ht="30" hidden="false" customHeight="true" outlineLevel="0" collapsed="false">
      <c r="B11" s="47" t="s">
        <v>148</v>
      </c>
      <c r="C11" s="48" t="s">
        <v>138</v>
      </c>
      <c r="D11" s="49" t="s">
        <v>149</v>
      </c>
    </row>
    <row r="12" customFormat="false" ht="30" hidden="false" customHeight="true" outlineLevel="0" collapsed="false">
      <c r="B12" s="47" t="s">
        <v>150</v>
      </c>
      <c r="C12" s="48" t="s">
        <v>138</v>
      </c>
      <c r="D12" s="49" t="s">
        <v>151</v>
      </c>
    </row>
    <row r="13" customFormat="false" ht="30" hidden="false" customHeight="true" outlineLevel="0" collapsed="false">
      <c r="B13" s="47" t="s">
        <v>152</v>
      </c>
      <c r="C13" s="48" t="s">
        <v>138</v>
      </c>
      <c r="D13" s="49" t="s">
        <v>153</v>
      </c>
    </row>
    <row r="14" customFormat="false" ht="30" hidden="false" customHeight="true" outlineLevel="0" collapsed="false">
      <c r="B14" s="47" t="s">
        <v>154</v>
      </c>
      <c r="C14" s="48" t="s">
        <v>138</v>
      </c>
      <c r="D14" s="49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2026-06-25T22:39:00Z</dcterms:created>
  <dc:creator>openpyxl</dc:creator>
  <dc:description/>
  <dc:language>fr-FR</dc:language>
  <cp:lastModifiedBy>ricat</cp:lastModifiedBy>
  <dcterms:modified xsi:type="dcterms:W3CDTF">2026-06-29T13:41:56Z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49BA265B3C764E76B2C15987582CAE27_12</vt:lpwstr>
  </property>
  <property fmtid="{D5CDD505-2E9C-101B-9397-08002B2CF9AE}" pid="4" name="KSOProductBuildVer">
    <vt:lpwstr>1036-12.1.0.26880</vt:lpwstr>
  </property>
</Properties>
</file>