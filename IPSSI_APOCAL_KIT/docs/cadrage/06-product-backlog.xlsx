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rde" sheetId="1" r:id="rId4"/>
    <sheet state="visible" name="Identification" sheetId="2" r:id="rId5"/>
    <sheet state="visible" name="Epics" sheetId="3" r:id="rId6"/>
    <sheet state="visible" name="Backlog" sheetId="4" r:id="rId7"/>
    <sheet state="visible" name="DoR &amp; DoD" sheetId="5" r:id="rId8"/>
    <sheet state="visible" name="Auto-évaluation" sheetId="6" r:id="rId9"/>
  </sheets>
  <definedNames/>
  <calcPr/>
  <extLst>
    <ext uri="GoogleSheetsCustomDataVersion2">
      <go:sheetsCustomData xmlns:go="http://customooxmlschemas.google.com/" r:id="rId10" roundtripDataChecksum="NON3LEIubJjWTrXp/WEVYNV9+3FDMpyzFUKZLJI1dhA="/>
    </ext>
  </extLst>
</workbook>
</file>

<file path=xl/sharedStrings.xml><?xml version="1.0" encoding="utf-8"?>
<sst xmlns="http://schemas.openxmlformats.org/spreadsheetml/2006/main" count="328" uniqueCount="196">
  <si>
    <t>A</t>
  </si>
  <si>
    <t>APOCAL'IPSSI</t>
  </si>
  <si>
    <t>CADRAGE MATINAL · ARTEFACT 6 SUR 7</t>
  </si>
  <si>
    <t>Product Backlog</t>
  </si>
  <si>
    <t>20 user stories organisées en 6 epics, avec critères INVEST et MoSCoW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</si>
  <si>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</si>
  <si>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</si>
  <si>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</si>
  <si>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</si>
  <si>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</si>
  <si>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Groupe 21</t>
  </si>
  <si>
    <t>Membres</t>
  </si>
  <si>
    <t>Nicolas CATALUNA, Celia MERABET, Monica RADIFERA RASAMOELIJAONA, Nolan LEFEBVRE, Ilham KADRI, Gabriel SAINT-LOUIS</t>
  </si>
  <si>
    <t>Sprint concerné</t>
  </si>
  <si>
    <t>Cadrage</t>
  </si>
  <si>
    <t>Version</t>
  </si>
  <si>
    <t>v1.0 (initiale — avant perturbations)</t>
  </si>
  <si>
    <t>Date de remise</t>
  </si>
  <si>
    <t>29/06/2026 avant 13h00</t>
  </si>
  <si>
    <t>Statut</t>
  </si>
  <si>
    <t>draft</t>
  </si>
  <si>
    <t>💡 Convention de nommage du fichier :</t>
  </si>
  <si>
    <t>equipe-XX-nom-document-vY.Z.xlsx  (ex. equipe-03-product-backlog-v1.0.xlsx)</t>
  </si>
  <si>
    <t>EPICS : EDUTUTOR IA</t>
  </si>
  <si>
    <t>6 épopées correspondant aux activités utilisateur de la Story Map</t>
  </si>
  <si>
    <t>💡 OBJECTIF</t>
  </si>
  <si>
    <t>Une Epic regroupe plusieurs user stories qui partagent une intention commune. Permet la vue d'ensemble du scope et facilite la priorisation.</t>
  </si>
  <si>
    <t>ID</t>
  </si>
  <si>
    <t>Epic</t>
  </si>
  <si>
    <t>Activité utilisateur (Story Map)</t>
  </si>
  <si>
    <t>Stories incluses</t>
  </si>
  <si>
    <t>SP total</t>
  </si>
  <si>
    <t>EP-01</t>
  </si>
  <si>
    <t>Identification utilisateur</t>
  </si>
  <si>
    <t>S'inscrire</t>
  </si>
  <si>
    <t>US-01, US-07, US-13, US-18</t>
  </si>
  <si>
    <t>EP-02</t>
  </si>
  <si>
    <t>Gestion de contenu</t>
  </si>
  <si>
    <t>Uploader un cours</t>
  </si>
  <si>
    <t>US-02, US-08, US-14</t>
  </si>
  <si>
    <t>EP-03</t>
  </si>
  <si>
    <t>Génération de quiz</t>
  </si>
  <si>
    <t>Générer un quiz</t>
  </si>
  <si>
    <t>US-03, US-09, US-15, US-19</t>
  </si>
  <si>
    <t>EP-04</t>
  </si>
  <si>
    <t>Passage de quiz</t>
  </si>
  <si>
    <t>Passer le quiz</t>
  </si>
  <si>
    <t>US-04, US-05, US-10, US-20</t>
  </si>
  <si>
    <t>EP-05</t>
  </si>
  <si>
    <t>Suivi de progression</t>
  </si>
  <si>
    <t>Consulter résultats</t>
  </si>
  <si>
    <t>US-06, US-11, US-16</t>
  </si>
  <si>
    <t>EP-06</t>
  </si>
  <si>
    <t>Conformité &amp; administration</t>
  </si>
  <si>
    <t>Gérer son compte (RGPD)</t>
  </si>
  <si>
    <t>US-12, US-17</t>
  </si>
  <si>
    <t>PRODUCT BACKLOG : EDUTUTOR IA</t>
  </si>
  <si>
    <t>20 user stories : 6 MUST (MVP F1-F6) + 6 SHOULD R2 + 5 COULD R2 + 3 WON'T</t>
  </si>
  <si>
    <t>Liste ordonnée et priorisée de TOUTES les fonctionnalités du produit. Source unique de vérité du scope.</t>
  </si>
  <si>
    <t>📐 FORMAT INVEST</t>
  </si>
  <si>
    <t>Independent · Negotiable · Valuable · Estimable · Small · Testable. Format de phrase : « En tant que [persona], je veux [action] afin de [bénéfice]. »</t>
  </si>
  <si>
    <t>✅ BON</t>
  </si>
  <si>
    <t>« En tant qu'étudiante, je veux générer un quiz en moins de 60 s à partir de mon PDF, afin de réviser efficacement avant les partiels. »</t>
  </si>
  <si>
    <t>❌ À ÉVITER</t>
  </si>
  <si>
    <t>« On veut une fonctionnalité de génération » (pas INVEST, ni persona ni bénéfice clair)</t>
  </si>
  <si>
    <t>User Story (INVEST)</t>
  </si>
  <si>
    <t>Persona</t>
  </si>
  <si>
    <t>MoSCoW</t>
  </si>
  <si>
    <t>SP</t>
  </si>
  <si>
    <t>Critères d'acceptation (3 G/W/T pour MUST)</t>
  </si>
  <si>
    <t>DoR</t>
  </si>
  <si>
    <t>DoD</t>
  </si>
  <si>
    <t>Sprint</t>
  </si>
  <si>
    <t>US-01</t>
  </si>
  <si>
    <t>En tant qu'étudiant·e, je veux créer un compte avec email et mot de passe, afin de sauvegarder mes quizz et y revenir.</t>
  </si>
  <si>
    <t>Étudiant·e</t>
  </si>
  <si>
    <t>MUST</t>
  </si>
  <si>
    <t>G: visiteur non authentifié sur /signup
W: soumet email valide + mdp ≥ 8 caractères
T: compte créé, email envoyé, redirect /upload</t>
  </si>
  <si>
    <t>□</t>
  </si>
  <si>
    <t>S1</t>
  </si>
  <si>
    <t>Todo</t>
  </si>
  <si>
    <t>US-02</t>
  </si>
  <si>
    <t>En tant qu'étudiant·e, je veux uploader un PDF ou saisir un texte de cours, afin de ne pas avoir à recopier mon support.</t>
  </si>
  <si>
    <t>G: user authentifié sur /upload
W: dépose PDF ≤ 5 Mo OU texte ≥ 200 car
T: contenu extrait, stocké, bouton 'Générer' visible</t>
  </si>
  <si>
    <t>US-03</t>
  </si>
  <si>
    <t>En tant qu'étudiant·e, je veux générer un quiz de 10 QCM en moins de 60 s, afin de réviser rapidement un chapitre.</t>
  </si>
  <si>
    <t>G: un cours stocké pour l'user
W: clique 'Générer un quiz' sur /quiz
T: 10 QCM générés en &lt; 60 s via Llama 3.1 8B local</t>
  </si>
  <si>
    <t>S2</t>
  </si>
  <si>
    <t>US-04</t>
  </si>
  <si>
    <t>En tant qu'étudiant·e, je veux soumettre mes réponses et obtenir une correction automatique, afin de savoir où je me situe.</t>
  </si>
  <si>
    <t>G: un quiz généré et affiché
W: user soumet ses 10 réponses
T: chaque réponse comparée, statut bon/mauvais enregistré</t>
  </si>
  <si>
    <t>S3</t>
  </si>
  <si>
    <t>US-05</t>
  </si>
  <si>
    <t>En tant qu'étudiant·e, je veux voir mon score /10 et le détail bonnes/mauvaises réponses, afin de mesurer ma progression.</t>
  </si>
  <si>
    <t>G: un quiz soumis
W: user arrive sur /resultat
T: score /10 affiché + 10 questions avec corrections détaillées</t>
  </si>
  <si>
    <t>US-06</t>
  </si>
  <si>
    <t>En tant qu'étudiant·e, je veux consulter l'historique de mes quizz passés, afin de suivre mon évolution dans le temps.</t>
  </si>
  <si>
    <t>G: user authentifié sur /historique
W: la page se charge
T: liste des quizz triés par date desc, avec titre/date/score/refaire</t>
  </si>
  <si>
    <t>S4</t>
  </si>
  <si>
    <t>US-07</t>
  </si>
  <si>
    <t>En tant qu'étudiant·e, je veux réinitialiser mon mot de passe via email, afin de pouvoir récupérer mon compte sans support.</t>
  </si>
  <si>
    <t>SHOULD</t>
  </si>
  <si>
    <t>[1 critère type : lien magique valide 24 h, redirect /reset-password]</t>
  </si>
  <si>
    <t>S6</t>
  </si>
  <si>
    <t>Backlog</t>
  </si>
  <si>
    <t>US-08</t>
  </si>
  <si>
    <t>En tant qu'étudiant·e, je veux une bibliothèque pour mes cours uploadés, afin de retrouver vite mes PDF d'un semestre.</t>
  </si>
  <si>
    <t>[1 critère type : page /library liste cours avec date, titre, nb quizz]</t>
  </si>
  <si>
    <t>US-09</t>
  </si>
  <si>
    <t>En tant qu'étudiant·e, je veux choisir le niveau de difficulté et le nombre de questions (5-20), afin d'adapter à mon temps disponible.</t>
  </si>
  <si>
    <t>[1 critère type : 3 niveaux (facile/moyen/dur) + slider 5-20 sur /quiz]</t>
  </si>
  <si>
    <t>US-10</t>
  </si>
  <si>
    <t>En tant qu'étudiant·e, je veux un mode timer optionnel par question, afin de m'entraîner aux conditions d'examen.</t>
  </si>
  <si>
    <t>[1 critère type : toggle ON/OFF + slider 10-30 s configurable]</t>
  </si>
  <si>
    <t>S7</t>
  </si>
  <si>
    <t>US-11</t>
  </si>
  <si>
    <t>En tant qu'étudiant·e, je veux un dashboard de progression par chapitre, afin de cibler mes révisions sur mes lacunes.</t>
  </si>
  <si>
    <t>[1 critère type : page /dashboard avec graphique en barres score / chap.]</t>
  </si>
  <si>
    <t>US-12</t>
  </si>
  <si>
    <t>En tant qu'utilisateur·trice, je veux exporter toutes mes données en JSON et CSV, afin d'exercer mon droit d'accès Art. 15 RGPD.</t>
  </si>
  <si>
    <t>Tous personas</t>
  </si>
  <si>
    <t>[1 critère type : bouton export → ZIP avec quizz.json + reponses.csv + audit.json]</t>
  </si>
  <si>
    <t>S5</t>
  </si>
  <si>
    <t>US-13</t>
  </si>
  <si>
    <t>En tant qu'étudiant·e, je veux me connecter via Google ou Apple OAuth, afin d'éviter de gérer un énième mot de passe.</t>
  </si>
  <si>
    <t>COULD</t>
  </si>
  <si>
    <t>[1 critère type : boutons OAuth + provider Django allauth]</t>
  </si>
  <si>
    <t>n.c.</t>
  </si>
  <si>
    <t>US-14</t>
  </si>
  <si>
    <t>En tant qu'étudiant·e, je veux importer un cours depuis une URL web (article, blog), afin d'enrichir mes sources de révision.</t>
  </si>
  <si>
    <t>[1 critère type : champ URL + scraping article + filtrage textes parasites]</t>
  </si>
  <si>
    <t>US-15</t>
  </si>
  <si>
    <t>En tant qu'enseignant·e, je veux générer des questions ouvertes corrigées par le LLM, afin de varier les types d'évaluation.</t>
  </si>
  <si>
    <t>Enseignant·e</t>
  </si>
  <si>
    <t>[1 critère type : mode 'question ouverte' avec barème indicatif et correction LLM]</t>
  </si>
  <si>
    <t>US-16</t>
  </si>
  <si>
    <t>En tant qu'étudiant·e, je veux que l'app identifie mes lacunes par chapitre, afin de me concentrer sur ce qui pèche.</t>
  </si>
  <si>
    <t>[1 critère type : algo agrégation scores &lt; 5/10 + tag chapitre concerné]</t>
  </si>
  <si>
    <t>US-17</t>
  </si>
  <si>
    <t>En tant qu'utilisateur·trice, je veux supprimer mon compte et toutes mes données, afin d'exercer mon droit à l'oubli Art. 17 RGPD.</t>
  </si>
  <si>
    <t>[1 critère type : bouton avec confirmation 2-étapes + cron purge 30 j]</t>
  </si>
  <si>
    <t>US-18</t>
  </si>
  <si>
    <t>En tant que DSI d'établissement, je veux un SSO entreprise SAML/OIDC, afin d'intégrer EduTutor à mon AD/ENT.</t>
  </si>
  <si>
    <t>Établissement</t>
  </si>
  <si>
    <t>WON'T</t>
  </si>
  <si>
    <t>Reporté Release 3+ (cible B2B post-prototype)</t>
  </si>
  <si>
    <t>Won't</t>
  </si>
  <si>
    <t>US-19</t>
  </si>
  <si>
    <t>En tant qu'étudiant·e, je veux discuter avec un chatbot IA pour explorer un sujet, afin d'apprendre par dialogue.</t>
  </si>
  <si>
    <t>Hors cible primaire (concurrent direct Khanmigo). Ne pas y aller.</t>
  </si>
  <si>
    <t>US-20</t>
  </si>
  <si>
    <t>En tant qu'étudiant·e, je veux affronter d'autres étudiants en mode compétition, afin d'ajouter du fun à la révision.</t>
  </si>
  <si>
    <t>Hors scope vision (apprentissage personnalisé, pas gamification compétitive)</t>
  </si>
  <si>
    <t>TOTAL</t>
  </si>
  <si>
    <t>20 stories · 137 SP scope total · à arbitrer contre vélocité cible ~56 SP</t>
  </si>
  <si>
    <t>DEFINITION OF READY &amp; DEFINITION OF DONE</t>
  </si>
  <si>
    <t>Critères partagés par toute l'équipe, à respecter pour chaque story</t>
  </si>
  <si>
    <t>🟢 DEFINITION OF READY (DoR), avant Sprint Planning</t>
  </si>
  <si>
    <t>Une story est READY (tirable en sprint) si TOUS ces critères sont cochés :</t>
  </si>
  <si>
    <t>□ User story rédigée au format INVEST (En tant que ... je veux ... afin de ...)</t>
  </si>
  <si>
    <t>□ Persona identifié (Étudiant·e / Enseignant·e / Établissement)</t>
  </si>
  <si>
    <t>□ Priorité MoSCoW assignée et justifiée (Must / Should / Could / Won't)</t>
  </si>
  <si>
    <t>□ Critères d'acceptation explicites et testables (format Given/When/Then de préférence)</t>
  </si>
  <si>
    <t>□ Story estimée par l'équipe en story points (Planning Poker recommandé)</t>
  </si>
  <si>
    <t>□ Dépendances avec d'autres stories identifiées (et non-bloquantes au moment du sprint)</t>
  </si>
  <si>
    <t>□ Pas de question ouverte côté Product Owner (clarté du besoin)</t>
  </si>
  <si>
    <t>□ Maquettes / wireframes disponibles si la story comporte une interface (Figma, Excalidraw)</t>
  </si>
  <si>
    <t>🟢 DEFINITION OF DONE (DoD), pour clôturer une story</t>
  </si>
  <si>
    <t>Une story est DONE (validée Sprint Review) si TOUS ces critères sont cochés :</t>
  </si>
  <si>
    <t>□ Tous les critères d'acceptation de la story sont satisfaits (vérifiables en démo)</t>
  </si>
  <si>
    <t>□ Code reviewé par au moins 1 autre membre de l'équipe (Pull Request approuvée)</t>
  </si>
  <si>
    <t>□ Tests pertinents ajoutés (pytest pour backend, vitest pour frontend, minimum unitaires)</t>
  </si>
  <si>
    <t>□ Lint et tests verts en CI (pipeline GitHub Actions au vert)</t>
  </si>
  <si>
    <t>□ Documentation à jour (README, docstrings, /docs/ si concept nouveau)</t>
  </si>
  <si>
    <t>□ Pas de TODO/FIXME laissé sans ticket de suivi (créer une issue si nécessaire)</t>
  </si>
  <si>
    <t>□ Story démontrée et acceptée par le PO en Sprint Review</t>
  </si>
  <si>
    <t>□ Code mergé sur la branche principale + tag Git si fin de release</t>
  </si>
  <si>
    <t>□ Pas de régression introduite (suite de tests intégrale au vert)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</si>
  <si>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</si>
  <si>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</si>
  <si>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</si>
  <si>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</si>
  <si>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</si>
  <si>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20 user stories pré-remplies (6 MUST + 6 SHOULD + 5 COULD + 3 WON'T)</t>
  </si>
  <si>
    <t>✅  Oui   ☐ Partiel   ☐ Non</t>
  </si>
  <si>
    <t>Toutes les stories sont au format INVEST (En tant que ... je veux ... afin de ...)</t>
  </si>
  <si>
    <t>Chaque story a une priorité MoSCoW assignée et un persona ciblé</t>
  </si>
  <si>
    <t>Les 6 MUST correspondent exactement aux 6 features F1-F6 imposées</t>
  </si>
  <si>
    <t>Les 6 MUST ont des critères d'acceptation Given/When/Then complets</t>
  </si>
  <si>
    <t>Chaque story est rattachée à une Epic (EP-01 à EP-06)</t>
  </si>
  <si>
    <t>Les story points sont estimés (au moins indicatifs)</t>
  </si>
  <si>
    <t>La DoR et la DoD sont rédigées et partagées par l'équipe</t>
  </si>
  <si>
    <t>Le Product Backlog a été ordonné par valeur business + dépendances</t>
  </si>
  <si>
    <t>Toutes les stories ont été passées au crible INVEST en équipe</t>
  </si>
  <si>
    <t>☐  Oui   ✅ Partiel   ☐ Non</t>
  </si>
  <si>
    <t>Pas avant la fin de la journée du 29/06/2026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</si>
</sst>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1.0"/>
      <color theme="1"/>
      <name val="Calibri"/>
      <scheme val="minor"/>
    </font>
    <font>
      <b/>
      <sz val="72.0"/>
      <color rgb="FF1E1B4B"/>
      <name val="Calibri"/>
      <scheme val="minor"/>
    </font>
    <font>
      <b/>
      <sz val="14.0"/>
      <color rgb="FF1E1B4B"/>
      <name val="Calibri"/>
      <scheme val="minor"/>
    </font>
    <font>
      <b/>
      <sz val="10.0"/>
      <color rgb="FFF59E0B"/>
      <name val="Calibri"/>
      <scheme val="minor"/>
    </font>
    <font>
      <b/>
      <sz val="24.0"/>
      <color rgb="FF1E1B4B"/>
      <name val="Calibri"/>
      <scheme val="minor"/>
    </font>
    <font>
      <i/>
      <sz val="12.0"/>
      <color rgb="FF475569"/>
      <name val="Calibri"/>
      <scheme val="minor"/>
    </font>
    <font>
      <b/>
      <sz val="11.0"/>
      <color rgb="FF475569"/>
      <name val="Calibri"/>
      <scheme val="minor"/>
    </font>
    <font>
      <i/>
      <sz val="9.0"/>
      <color rgb="FF475569"/>
      <name val="Calibri"/>
      <scheme val="minor"/>
    </font>
    <font>
      <b/>
      <sz val="12.0"/>
      <color rgb="FFF59E0B"/>
      <name val="Calibri"/>
      <scheme val="minor"/>
    </font>
    <font>
      <i/>
      <sz val="10.0"/>
      <color rgb="FF475569"/>
      <name val="Calibri"/>
      <scheme val="minor"/>
    </font>
    <font>
      <b/>
      <color rgb="FF1E1B4B"/>
      <name val="Calibri"/>
      <scheme val="minor"/>
    </font>
    <font>
      <i/>
      <color rgb="FF475569"/>
      <name val="Calibri"/>
      <scheme val="minor"/>
    </font>
    <font>
      <color theme="1"/>
      <name val="Calibri"/>
      <scheme val="minor"/>
    </font>
    <font>
      <b/>
      <sz val="9.0"/>
      <color rgb="FFF59E0B"/>
      <name val="Calibri"/>
      <scheme val="minor"/>
    </font>
    <font>
      <b/>
      <sz val="18.0"/>
      <color rgb="FF1E1B4B"/>
      <name val="Calibri"/>
      <scheme val="minor"/>
    </font>
    <font>
      <b/>
      <sz val="11.0"/>
      <color rgb="FFFFFFFF"/>
      <name val="Calibri"/>
      <scheme val="minor"/>
    </font>
    <font>
      <b/>
      <sz val="11.0"/>
      <color rgb="FF1E1B4B"/>
      <name val="Calibri"/>
      <scheme val="minor"/>
    </font>
    <font>
      <sz val="10.0"/>
      <color rgb="FF1E1B4B"/>
      <name val="Calibri"/>
      <scheme val="minor"/>
    </font>
    <font>
      <b/>
      <sz val="10.0"/>
      <color rgb="FF16A34A"/>
      <name val="Calibri"/>
      <scheme val="minor"/>
    </font>
    <font>
      <b/>
      <sz val="10.0"/>
      <color rgb="FFDC2626"/>
      <name val="Calibri"/>
      <scheme val="minor"/>
    </font>
    <font>
      <b/>
      <sz val="10.0"/>
      <color rgb="FF1E1B4B"/>
      <name val="Calibri"/>
      <scheme val="minor"/>
    </font>
    <font>
      <sz val="9.0"/>
      <color rgb="FF1E1B4B"/>
      <name val="Calibri"/>
      <scheme val="minor"/>
    </font>
    <font>
      <b/>
      <sz val="10.0"/>
      <color rgb="FFB45309"/>
      <name val="Calibri"/>
      <scheme val="minor"/>
    </font>
    <font>
      <b/>
      <sz val="10.0"/>
      <color rgb="FF475569"/>
      <name val="Calibri"/>
      <scheme val="minor"/>
    </font>
    <font>
      <sz val="11.0"/>
      <color theme="1"/>
      <name val="Calibri"/>
    </font>
    <font>
      <b/>
      <sz val="14.0"/>
      <color rgb="FF16A34A"/>
      <name val="Calibri"/>
      <scheme val="minor"/>
    </font>
    <font>
      <sz val="11.0"/>
      <color rgb="FF1E1B4B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  <fill>
      <patternFill patternType="solid">
        <fgColor rgb="FFE0E7FF"/>
        <bgColor rgb="FFE0E7FF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1" fillId="2" fontId="10" numFmtId="0" xfId="0" applyBorder="1" applyFill="1" applyFont="1"/>
    <xf borderId="1" fillId="0" fontId="11" numFmtId="0" xfId="0" applyAlignment="1" applyBorder="1" applyFont="1">
      <alignment readingOrder="0"/>
    </xf>
    <xf borderId="1" fillId="0" fontId="11" numFmtId="0" xfId="0" applyAlignment="1" applyBorder="1" applyFont="1">
      <alignment readingOrder="0" shrinkToFit="0" wrapText="1"/>
    </xf>
    <xf borderId="0" fillId="0" fontId="12" numFmtId="0" xfId="0" applyAlignment="1" applyFont="1">
      <alignment readingOrder="0"/>
    </xf>
    <xf borderId="0" fillId="0" fontId="13" numFmtId="0" xfId="0" applyFont="1"/>
    <xf borderId="0" fillId="0" fontId="14" numFmtId="0" xfId="0" applyFont="1"/>
    <xf borderId="1" fillId="3" fontId="15" numFmtId="0" xfId="0" applyAlignment="1" applyBorder="1" applyFill="1" applyFont="1">
      <alignment horizontal="center" shrinkToFit="0" vertical="center" wrapText="1"/>
    </xf>
    <xf borderId="2" fillId="0" fontId="16" numFmtId="0" xfId="0" applyAlignment="1" applyBorder="1" applyFont="1">
      <alignment shrinkToFit="0" vertical="center" wrapText="1"/>
    </xf>
    <xf borderId="2" fillId="0" fontId="17" numFmtId="0" xfId="0" applyAlignment="1" applyBorder="1" applyFont="1">
      <alignment shrinkToFit="0" vertical="center" wrapText="1"/>
    </xf>
    <xf borderId="0" fillId="0" fontId="18" numFmtId="0" xfId="0" applyFont="1"/>
    <xf borderId="0" fillId="0" fontId="19" numFmtId="0" xfId="0" applyFont="1"/>
    <xf borderId="2" fillId="0" fontId="20" numFmtId="0" xfId="0" applyAlignment="1" applyBorder="1" applyFont="1">
      <alignment shrinkToFit="0" vertical="top" wrapText="1"/>
    </xf>
    <xf borderId="2" fillId="0" fontId="21" numFmtId="0" xfId="0" applyAlignment="1" applyBorder="1" applyFont="1">
      <alignment shrinkToFit="0" vertical="top" wrapText="1"/>
    </xf>
    <xf borderId="2" fillId="4" fontId="19" numFmtId="0" xfId="0" applyAlignment="1" applyBorder="1" applyFill="1" applyFont="1">
      <alignment horizontal="center" vertical="center"/>
    </xf>
    <xf borderId="2" fillId="5" fontId="22" numFmtId="0" xfId="0" applyAlignment="1" applyBorder="1" applyFill="1" applyFont="1">
      <alignment horizontal="center" vertical="center"/>
    </xf>
    <xf borderId="2" fillId="6" fontId="18" numFmtId="0" xfId="0" applyAlignment="1" applyBorder="1" applyFill="1" applyFont="1">
      <alignment horizontal="center" vertical="center"/>
    </xf>
    <xf borderId="2" fillId="7" fontId="23" numFmtId="0" xfId="0" applyAlignment="1" applyBorder="1" applyFill="1" applyFont="1">
      <alignment horizontal="center" vertical="center"/>
    </xf>
    <xf borderId="2" fillId="8" fontId="16" numFmtId="0" xfId="0" applyBorder="1" applyFill="1" applyFont="1"/>
    <xf borderId="2" fillId="8" fontId="24" numFmtId="0" xfId="0" applyBorder="1" applyFont="1"/>
    <xf borderId="2" fillId="8" fontId="9" numFmtId="0" xfId="0" applyBorder="1" applyFont="1"/>
    <xf borderId="0" fillId="0" fontId="25" numFmtId="0" xfId="0" applyFont="1"/>
    <xf borderId="0" fillId="0" fontId="26" numFmtId="0" xfId="0" applyFont="1"/>
    <xf borderId="0" fillId="0" fontId="12" numFmtId="0" xfId="0" applyFont="1"/>
    <xf borderId="0" fillId="0" fontId="24" numFmtId="0" xfId="0" applyAlignment="1" applyFont="1">
      <alignment shrinkToFit="0" vertical="center" wrapText="1"/>
    </xf>
    <xf borderId="0" fillId="0" fontId="24" numFmtId="0" xfId="0" applyAlignment="1" applyFont="1">
      <alignment horizontal="center" readingOrder="0" vertical="center"/>
    </xf>
    <xf borderId="0" fillId="0" fontId="24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90.0"/>
    <col customWidth="1" min="3" max="26" width="8.71"/>
  </cols>
  <sheetData>
    <row r="2">
      <c r="B2" s="1" t="s">
        <v>0</v>
      </c>
    </row>
    <row r="4">
      <c r="B4" s="2" t="s">
        <v>1</v>
      </c>
    </row>
    <row r="8">
      <c r="B8" s="3" t="s">
        <v>2</v>
      </c>
    </row>
    <row r="10">
      <c r="B10" s="4" t="s">
        <v>3</v>
      </c>
    </row>
    <row r="12">
      <c r="B12" s="5" t="s">
        <v>4</v>
      </c>
    </row>
    <row r="20">
      <c r="B20" s="6" t="s">
        <v>5</v>
      </c>
    </row>
    <row r="21" ht="15.75" customHeight="1">
      <c r="B21" s="7" t="s">
        <v>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5.0"/>
    <col customWidth="1" min="3" max="3" width="60.0"/>
    <col customWidth="1" min="4" max="26" width="8.71"/>
  </cols>
  <sheetData>
    <row r="2">
      <c r="B2" s="8" t="s">
        <v>7</v>
      </c>
    </row>
    <row r="3">
      <c r="B3" s="9" t="s">
        <v>8</v>
      </c>
    </row>
    <row r="5" ht="21.75" customHeight="1">
      <c r="B5" s="10" t="s">
        <v>9</v>
      </c>
      <c r="C5" s="11" t="s">
        <v>10</v>
      </c>
    </row>
    <row r="6">
      <c r="B6" s="10" t="s">
        <v>11</v>
      </c>
      <c r="C6" s="12" t="s">
        <v>12</v>
      </c>
    </row>
    <row r="7" ht="21.75" customHeight="1">
      <c r="B7" s="10" t="s">
        <v>13</v>
      </c>
      <c r="C7" s="11" t="s">
        <v>14</v>
      </c>
    </row>
    <row r="8" ht="21.75" customHeight="1">
      <c r="B8" s="10" t="s">
        <v>15</v>
      </c>
      <c r="C8" s="13" t="s">
        <v>16</v>
      </c>
    </row>
    <row r="9" ht="21.75" customHeight="1">
      <c r="B9" s="10" t="s">
        <v>17</v>
      </c>
      <c r="C9" s="13" t="s">
        <v>18</v>
      </c>
    </row>
    <row r="10" ht="21.75" customHeight="1">
      <c r="B10" s="10" t="s">
        <v>19</v>
      </c>
      <c r="C10" s="11" t="s">
        <v>20</v>
      </c>
    </row>
    <row r="12">
      <c r="B12" s="14" t="s">
        <v>21</v>
      </c>
    </row>
    <row r="13">
      <c r="B13" s="7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30.0"/>
    <col customWidth="1" min="3" max="3" width="25.0"/>
    <col customWidth="1" min="4" max="4" width="32.0"/>
    <col customWidth="1" min="5" max="5" width="10.0"/>
    <col customWidth="1" min="6" max="26" width="8.71"/>
  </cols>
  <sheetData>
    <row r="1">
      <c r="A1" s="15" t="s">
        <v>23</v>
      </c>
    </row>
    <row r="2">
      <c r="A2" s="9" t="s">
        <v>24</v>
      </c>
    </row>
    <row r="4">
      <c r="A4" s="3" t="s">
        <v>25</v>
      </c>
      <c r="B4" s="9" t="s">
        <v>26</v>
      </c>
    </row>
    <row r="6">
      <c r="A6" s="16" t="s">
        <v>27</v>
      </c>
      <c r="B6" s="16" t="s">
        <v>28</v>
      </c>
      <c r="C6" s="16" t="s">
        <v>29</v>
      </c>
      <c r="D6" s="16" t="s">
        <v>30</v>
      </c>
      <c r="E6" s="16" t="s">
        <v>31</v>
      </c>
    </row>
    <row r="7" ht="30.0" customHeight="1">
      <c r="A7" s="17" t="s">
        <v>32</v>
      </c>
      <c r="B7" s="18" t="s">
        <v>33</v>
      </c>
      <c r="C7" s="18" t="s">
        <v>34</v>
      </c>
      <c r="D7" s="18" t="s">
        <v>35</v>
      </c>
      <c r="E7" s="18">
        <f>Backlog!F10+Backlog!F16+Backlog!F22+Backlog!F27</f>
        <v>24</v>
      </c>
    </row>
    <row r="8" ht="30.0" customHeight="1">
      <c r="A8" s="17" t="s">
        <v>36</v>
      </c>
      <c r="B8" s="18" t="s">
        <v>37</v>
      </c>
      <c r="C8" s="18" t="s">
        <v>38</v>
      </c>
      <c r="D8" s="18" t="s">
        <v>39</v>
      </c>
      <c r="E8" s="18">
        <f>Backlog!F23+Backlog!F17+Backlog!F11</f>
        <v>18</v>
      </c>
    </row>
    <row r="9" ht="30.0" customHeight="1">
      <c r="A9" s="17" t="s">
        <v>40</v>
      </c>
      <c r="B9" s="18" t="s">
        <v>41</v>
      </c>
      <c r="C9" s="18" t="s">
        <v>42</v>
      </c>
      <c r="D9" s="18" t="s">
        <v>43</v>
      </c>
      <c r="E9" s="18">
        <f>Backlog!F12+Backlog!F18+Backlog!F24+Backlog!F28</f>
        <v>47</v>
      </c>
    </row>
    <row r="10" ht="30.0" customHeight="1">
      <c r="A10" s="17" t="s">
        <v>44</v>
      </c>
      <c r="B10" s="18" t="s">
        <v>45</v>
      </c>
      <c r="C10" s="18" t="s">
        <v>46</v>
      </c>
      <c r="D10" s="18" t="s">
        <v>47</v>
      </c>
      <c r="E10" s="18">
        <f>Backlog!F29+Backlog!F19+Backlog!F14+Backlog!F13</f>
        <v>22</v>
      </c>
    </row>
    <row r="11" ht="30.0" customHeight="1">
      <c r="A11" s="17" t="s">
        <v>48</v>
      </c>
      <c r="B11" s="18" t="s">
        <v>49</v>
      </c>
      <c r="C11" s="18" t="s">
        <v>50</v>
      </c>
      <c r="D11" s="18" t="s">
        <v>51</v>
      </c>
      <c r="E11" s="18">
        <f>Backlog!F15+Backlog!F20+Backlog!F25</f>
        <v>16</v>
      </c>
    </row>
    <row r="12" ht="30.0" customHeight="1">
      <c r="A12" s="17" t="s">
        <v>52</v>
      </c>
      <c r="B12" s="18" t="s">
        <v>53</v>
      </c>
      <c r="C12" s="18" t="s">
        <v>54</v>
      </c>
      <c r="D12" s="18" t="s">
        <v>55</v>
      </c>
      <c r="E12" s="18">
        <f>Backlog!F26+Backlog!F21</f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2" width="8.0"/>
    <col customWidth="1" min="3" max="3" width="38.0"/>
    <col customWidth="1" min="4" max="4" width="13.0"/>
    <col customWidth="1" min="5" max="5" width="9.0"/>
    <col customWidth="1" min="6" max="6" width="6.0"/>
    <col customWidth="1" min="7" max="7" width="35.0"/>
    <col customWidth="1" min="8" max="9" width="6.0"/>
    <col customWidth="1" min="10" max="10" width="8.0"/>
    <col customWidth="1" min="11" max="11" width="10.0"/>
    <col customWidth="1" min="12" max="26" width="8.71"/>
  </cols>
  <sheetData>
    <row r="1">
      <c r="A1" s="15" t="s">
        <v>56</v>
      </c>
    </row>
    <row r="2">
      <c r="A2" s="9" t="s">
        <v>57</v>
      </c>
    </row>
    <row r="4">
      <c r="A4" s="3" t="s">
        <v>25</v>
      </c>
      <c r="B4" s="9" t="s">
        <v>58</v>
      </c>
    </row>
    <row r="5">
      <c r="A5" s="3" t="s">
        <v>59</v>
      </c>
      <c r="B5" s="9" t="s">
        <v>60</v>
      </c>
    </row>
    <row r="6">
      <c r="A6" s="19" t="s">
        <v>61</v>
      </c>
      <c r="B6" s="9" t="s">
        <v>62</v>
      </c>
    </row>
    <row r="7">
      <c r="A7" s="20" t="s">
        <v>63</v>
      </c>
      <c r="B7" s="9" t="s">
        <v>64</v>
      </c>
    </row>
    <row r="9">
      <c r="A9" s="16" t="s">
        <v>27</v>
      </c>
      <c r="B9" s="16" t="s">
        <v>28</v>
      </c>
      <c r="C9" s="16" t="s">
        <v>65</v>
      </c>
      <c r="D9" s="16" t="s">
        <v>66</v>
      </c>
      <c r="E9" s="16" t="s">
        <v>67</v>
      </c>
      <c r="F9" s="16" t="s">
        <v>68</v>
      </c>
      <c r="G9" s="16" t="s">
        <v>69</v>
      </c>
      <c r="H9" s="16" t="s">
        <v>70</v>
      </c>
      <c r="I9" s="16" t="s">
        <v>71</v>
      </c>
      <c r="J9" s="16" t="s">
        <v>72</v>
      </c>
      <c r="K9" s="16" t="s">
        <v>19</v>
      </c>
    </row>
    <row r="10" ht="69.75" customHeight="1">
      <c r="A10" s="21" t="s">
        <v>73</v>
      </c>
      <c r="B10" s="22" t="s">
        <v>32</v>
      </c>
      <c r="C10" s="22" t="s">
        <v>74</v>
      </c>
      <c r="D10" s="22" t="s">
        <v>75</v>
      </c>
      <c r="E10" s="23" t="s">
        <v>76</v>
      </c>
      <c r="F10" s="22">
        <v>3.0</v>
      </c>
      <c r="G10" s="22" t="s">
        <v>77</v>
      </c>
      <c r="H10" s="22" t="s">
        <v>78</v>
      </c>
      <c r="I10" s="22" t="s">
        <v>78</v>
      </c>
      <c r="J10" s="22" t="s">
        <v>79</v>
      </c>
      <c r="K10" s="22" t="s">
        <v>80</v>
      </c>
    </row>
    <row r="11" ht="69.75" customHeight="1">
      <c r="A11" s="21" t="s">
        <v>81</v>
      </c>
      <c r="B11" s="22" t="s">
        <v>36</v>
      </c>
      <c r="C11" s="22" t="s">
        <v>82</v>
      </c>
      <c r="D11" s="22" t="s">
        <v>75</v>
      </c>
      <c r="E11" s="23" t="s">
        <v>76</v>
      </c>
      <c r="F11" s="22">
        <v>5.0</v>
      </c>
      <c r="G11" s="22" t="s">
        <v>83</v>
      </c>
      <c r="H11" s="22" t="s">
        <v>78</v>
      </c>
      <c r="I11" s="22" t="s">
        <v>78</v>
      </c>
      <c r="J11" s="22" t="s">
        <v>79</v>
      </c>
      <c r="K11" s="22" t="s">
        <v>80</v>
      </c>
    </row>
    <row r="12" ht="69.75" customHeight="1">
      <c r="A12" s="21" t="s">
        <v>84</v>
      </c>
      <c r="B12" s="22" t="s">
        <v>40</v>
      </c>
      <c r="C12" s="22" t="s">
        <v>85</v>
      </c>
      <c r="D12" s="22" t="s">
        <v>75</v>
      </c>
      <c r="E12" s="23" t="s">
        <v>76</v>
      </c>
      <c r="F12" s="22">
        <v>8.0</v>
      </c>
      <c r="G12" s="22" t="s">
        <v>86</v>
      </c>
      <c r="H12" s="22" t="s">
        <v>78</v>
      </c>
      <c r="I12" s="22" t="s">
        <v>78</v>
      </c>
      <c r="J12" s="22" t="s">
        <v>87</v>
      </c>
      <c r="K12" s="22" t="s">
        <v>80</v>
      </c>
    </row>
    <row r="13" ht="69.75" customHeight="1">
      <c r="A13" s="21" t="s">
        <v>88</v>
      </c>
      <c r="B13" s="22" t="s">
        <v>44</v>
      </c>
      <c r="C13" s="22" t="s">
        <v>89</v>
      </c>
      <c r="D13" s="22" t="s">
        <v>75</v>
      </c>
      <c r="E13" s="23" t="s">
        <v>76</v>
      </c>
      <c r="F13" s="22">
        <v>3.0</v>
      </c>
      <c r="G13" s="22" t="s">
        <v>90</v>
      </c>
      <c r="H13" s="22" t="s">
        <v>78</v>
      </c>
      <c r="I13" s="22" t="s">
        <v>78</v>
      </c>
      <c r="J13" s="22" t="s">
        <v>91</v>
      </c>
      <c r="K13" s="22" t="s">
        <v>80</v>
      </c>
    </row>
    <row r="14" ht="69.75" customHeight="1">
      <c r="A14" s="21" t="s">
        <v>92</v>
      </c>
      <c r="B14" s="22" t="s">
        <v>44</v>
      </c>
      <c r="C14" s="22" t="s">
        <v>93</v>
      </c>
      <c r="D14" s="22" t="s">
        <v>75</v>
      </c>
      <c r="E14" s="23" t="s">
        <v>76</v>
      </c>
      <c r="F14" s="22">
        <v>3.0</v>
      </c>
      <c r="G14" s="22" t="s">
        <v>94</v>
      </c>
      <c r="H14" s="22" t="s">
        <v>78</v>
      </c>
      <c r="I14" s="22" t="s">
        <v>78</v>
      </c>
      <c r="J14" s="22" t="s">
        <v>91</v>
      </c>
      <c r="K14" s="22" t="s">
        <v>80</v>
      </c>
    </row>
    <row r="15" ht="69.75" customHeight="1">
      <c r="A15" s="21" t="s">
        <v>95</v>
      </c>
      <c r="B15" s="22" t="s">
        <v>48</v>
      </c>
      <c r="C15" s="22" t="s">
        <v>96</v>
      </c>
      <c r="D15" s="22" t="s">
        <v>75</v>
      </c>
      <c r="E15" s="23" t="s">
        <v>76</v>
      </c>
      <c r="F15" s="22">
        <v>3.0</v>
      </c>
      <c r="G15" s="22" t="s">
        <v>97</v>
      </c>
      <c r="H15" s="22" t="s">
        <v>78</v>
      </c>
      <c r="I15" s="22" t="s">
        <v>78</v>
      </c>
      <c r="J15" s="22" t="s">
        <v>98</v>
      </c>
      <c r="K15" s="22" t="s">
        <v>80</v>
      </c>
    </row>
    <row r="16" ht="69.75" customHeight="1">
      <c r="A16" s="21" t="s">
        <v>99</v>
      </c>
      <c r="B16" s="22" t="s">
        <v>32</v>
      </c>
      <c r="C16" s="22" t="s">
        <v>100</v>
      </c>
      <c r="D16" s="22" t="s">
        <v>75</v>
      </c>
      <c r="E16" s="24" t="s">
        <v>101</v>
      </c>
      <c r="F16" s="22">
        <v>3.0</v>
      </c>
      <c r="G16" s="22" t="s">
        <v>102</v>
      </c>
      <c r="H16" s="22" t="s">
        <v>78</v>
      </c>
      <c r="I16" s="22" t="s">
        <v>78</v>
      </c>
      <c r="J16" s="22" t="s">
        <v>103</v>
      </c>
      <c r="K16" s="22" t="s">
        <v>104</v>
      </c>
    </row>
    <row r="17" ht="69.75" customHeight="1">
      <c r="A17" s="21" t="s">
        <v>105</v>
      </c>
      <c r="B17" s="22" t="s">
        <v>36</v>
      </c>
      <c r="C17" s="22" t="s">
        <v>106</v>
      </c>
      <c r="D17" s="22" t="s">
        <v>75</v>
      </c>
      <c r="E17" s="24" t="s">
        <v>101</v>
      </c>
      <c r="F17" s="22">
        <v>5.0</v>
      </c>
      <c r="G17" s="22" t="s">
        <v>107</v>
      </c>
      <c r="H17" s="22" t="s">
        <v>78</v>
      </c>
      <c r="I17" s="22" t="s">
        <v>78</v>
      </c>
      <c r="J17" s="22" t="s">
        <v>103</v>
      </c>
      <c r="K17" s="22" t="s">
        <v>104</v>
      </c>
    </row>
    <row r="18" ht="69.75" customHeight="1">
      <c r="A18" s="21" t="s">
        <v>108</v>
      </c>
      <c r="B18" s="22" t="s">
        <v>40</v>
      </c>
      <c r="C18" s="22" t="s">
        <v>109</v>
      </c>
      <c r="D18" s="22" t="s">
        <v>75</v>
      </c>
      <c r="E18" s="24" t="s">
        <v>101</v>
      </c>
      <c r="F18" s="22">
        <v>5.0</v>
      </c>
      <c r="G18" s="22" t="s">
        <v>110</v>
      </c>
      <c r="H18" s="22" t="s">
        <v>78</v>
      </c>
      <c r="I18" s="22" t="s">
        <v>78</v>
      </c>
      <c r="J18" s="22" t="s">
        <v>103</v>
      </c>
      <c r="K18" s="22" t="s">
        <v>104</v>
      </c>
    </row>
    <row r="19" ht="69.75" customHeight="1">
      <c r="A19" s="21" t="s">
        <v>111</v>
      </c>
      <c r="B19" s="22" t="s">
        <v>44</v>
      </c>
      <c r="C19" s="22" t="s">
        <v>112</v>
      </c>
      <c r="D19" s="22" t="s">
        <v>75</v>
      </c>
      <c r="E19" s="24" t="s">
        <v>101</v>
      </c>
      <c r="F19" s="22">
        <v>3.0</v>
      </c>
      <c r="G19" s="22" t="s">
        <v>113</v>
      </c>
      <c r="H19" s="22" t="s">
        <v>78</v>
      </c>
      <c r="I19" s="22" t="s">
        <v>78</v>
      </c>
      <c r="J19" s="22" t="s">
        <v>114</v>
      </c>
      <c r="K19" s="22" t="s">
        <v>104</v>
      </c>
    </row>
    <row r="20" ht="69.75" customHeight="1">
      <c r="A20" s="21" t="s">
        <v>115</v>
      </c>
      <c r="B20" s="22" t="s">
        <v>48</v>
      </c>
      <c r="C20" s="22" t="s">
        <v>116</v>
      </c>
      <c r="D20" s="22" t="s">
        <v>75</v>
      </c>
      <c r="E20" s="24" t="s">
        <v>101</v>
      </c>
      <c r="F20" s="22">
        <v>5.0</v>
      </c>
      <c r="G20" s="22" t="s">
        <v>117</v>
      </c>
      <c r="H20" s="22" t="s">
        <v>78</v>
      </c>
      <c r="I20" s="22" t="s">
        <v>78</v>
      </c>
      <c r="J20" s="22" t="s">
        <v>114</v>
      </c>
      <c r="K20" s="22" t="s">
        <v>104</v>
      </c>
    </row>
    <row r="21" ht="69.75" customHeight="1">
      <c r="A21" s="21" t="s">
        <v>118</v>
      </c>
      <c r="B21" s="22" t="s">
        <v>52</v>
      </c>
      <c r="C21" s="22" t="s">
        <v>119</v>
      </c>
      <c r="D21" s="22" t="s">
        <v>120</v>
      </c>
      <c r="E21" s="24" t="s">
        <v>101</v>
      </c>
      <c r="F21" s="22">
        <v>5.0</v>
      </c>
      <c r="G21" s="22" t="s">
        <v>121</v>
      </c>
      <c r="H21" s="22" t="s">
        <v>78</v>
      </c>
      <c r="I21" s="22" t="s">
        <v>78</v>
      </c>
      <c r="J21" s="22" t="s">
        <v>122</v>
      </c>
      <c r="K21" s="22" t="s">
        <v>104</v>
      </c>
    </row>
    <row r="22" ht="69.75" customHeight="1">
      <c r="A22" s="21" t="s">
        <v>123</v>
      </c>
      <c r="B22" s="22" t="s">
        <v>32</v>
      </c>
      <c r="C22" s="22" t="s">
        <v>124</v>
      </c>
      <c r="D22" s="22" t="s">
        <v>75</v>
      </c>
      <c r="E22" s="25" t="s">
        <v>125</v>
      </c>
      <c r="F22" s="22">
        <v>5.0</v>
      </c>
      <c r="G22" s="22" t="s">
        <v>126</v>
      </c>
      <c r="H22" s="22" t="s">
        <v>78</v>
      </c>
      <c r="I22" s="22" t="s">
        <v>78</v>
      </c>
      <c r="J22" s="22" t="s">
        <v>127</v>
      </c>
      <c r="K22" s="22" t="s">
        <v>104</v>
      </c>
    </row>
    <row r="23" ht="69.75" customHeight="1">
      <c r="A23" s="21" t="s">
        <v>128</v>
      </c>
      <c r="B23" s="22" t="s">
        <v>36</v>
      </c>
      <c r="C23" s="22" t="s">
        <v>129</v>
      </c>
      <c r="D23" s="22" t="s">
        <v>75</v>
      </c>
      <c r="E23" s="25" t="s">
        <v>125</v>
      </c>
      <c r="F23" s="22">
        <v>8.0</v>
      </c>
      <c r="G23" s="22" t="s">
        <v>130</v>
      </c>
      <c r="H23" s="22" t="s">
        <v>78</v>
      </c>
      <c r="I23" s="22" t="s">
        <v>78</v>
      </c>
      <c r="J23" s="22" t="s">
        <v>127</v>
      </c>
      <c r="K23" s="22" t="s">
        <v>104</v>
      </c>
    </row>
    <row r="24" ht="69.75" customHeight="1">
      <c r="A24" s="21" t="s">
        <v>131</v>
      </c>
      <c r="B24" s="22" t="s">
        <v>40</v>
      </c>
      <c r="C24" s="22" t="s">
        <v>132</v>
      </c>
      <c r="D24" s="22" t="s">
        <v>133</v>
      </c>
      <c r="E24" s="25" t="s">
        <v>125</v>
      </c>
      <c r="F24" s="22">
        <v>13.0</v>
      </c>
      <c r="G24" s="22" t="s">
        <v>134</v>
      </c>
      <c r="H24" s="22" t="s">
        <v>78</v>
      </c>
      <c r="I24" s="22" t="s">
        <v>78</v>
      </c>
      <c r="J24" s="22" t="s">
        <v>127</v>
      </c>
      <c r="K24" s="22" t="s">
        <v>104</v>
      </c>
    </row>
    <row r="25" ht="69.75" customHeight="1">
      <c r="A25" s="21" t="s">
        <v>135</v>
      </c>
      <c r="B25" s="22" t="s">
        <v>48</v>
      </c>
      <c r="C25" s="22" t="s">
        <v>136</v>
      </c>
      <c r="D25" s="22" t="s">
        <v>75</v>
      </c>
      <c r="E25" s="25" t="s">
        <v>125</v>
      </c>
      <c r="F25" s="22">
        <v>8.0</v>
      </c>
      <c r="G25" s="22" t="s">
        <v>137</v>
      </c>
      <c r="H25" s="22" t="s">
        <v>78</v>
      </c>
      <c r="I25" s="22" t="s">
        <v>78</v>
      </c>
      <c r="J25" s="22" t="s">
        <v>127</v>
      </c>
      <c r="K25" s="22" t="s">
        <v>104</v>
      </c>
    </row>
    <row r="26" ht="69.75" customHeight="1">
      <c r="A26" s="21" t="s">
        <v>138</v>
      </c>
      <c r="B26" s="22" t="s">
        <v>52</v>
      </c>
      <c r="C26" s="22" t="s">
        <v>139</v>
      </c>
      <c r="D26" s="22" t="s">
        <v>120</v>
      </c>
      <c r="E26" s="25" t="s">
        <v>125</v>
      </c>
      <c r="F26" s="22">
        <v>5.0</v>
      </c>
      <c r="G26" s="22" t="s">
        <v>140</v>
      </c>
      <c r="H26" s="22" t="s">
        <v>78</v>
      </c>
      <c r="I26" s="22" t="s">
        <v>78</v>
      </c>
      <c r="J26" s="22" t="s">
        <v>127</v>
      </c>
      <c r="K26" s="22" t="s">
        <v>104</v>
      </c>
    </row>
    <row r="27" ht="69.75" customHeight="1">
      <c r="A27" s="21" t="s">
        <v>141</v>
      </c>
      <c r="B27" s="22" t="s">
        <v>32</v>
      </c>
      <c r="C27" s="22" t="s">
        <v>142</v>
      </c>
      <c r="D27" s="22" t="s">
        <v>143</v>
      </c>
      <c r="E27" s="26" t="s">
        <v>144</v>
      </c>
      <c r="F27" s="22">
        <v>13.0</v>
      </c>
      <c r="G27" s="22" t="s">
        <v>145</v>
      </c>
      <c r="H27" s="22" t="s">
        <v>127</v>
      </c>
      <c r="I27" s="22" t="s">
        <v>127</v>
      </c>
      <c r="J27" s="22" t="s">
        <v>127</v>
      </c>
      <c r="K27" s="22" t="s">
        <v>146</v>
      </c>
    </row>
    <row r="28" ht="69.75" customHeight="1">
      <c r="A28" s="21" t="s">
        <v>147</v>
      </c>
      <c r="B28" s="22" t="s">
        <v>40</v>
      </c>
      <c r="C28" s="22" t="s">
        <v>148</v>
      </c>
      <c r="D28" s="22" t="s">
        <v>75</v>
      </c>
      <c r="E28" s="26" t="s">
        <v>144</v>
      </c>
      <c r="F28" s="22">
        <v>21.0</v>
      </c>
      <c r="G28" s="22" t="s">
        <v>149</v>
      </c>
      <c r="H28" s="22" t="s">
        <v>127</v>
      </c>
      <c r="I28" s="22" t="s">
        <v>127</v>
      </c>
      <c r="J28" s="22" t="s">
        <v>127</v>
      </c>
      <c r="K28" s="22" t="s">
        <v>146</v>
      </c>
    </row>
    <row r="29" ht="69.75" customHeight="1">
      <c r="A29" s="21" t="s">
        <v>150</v>
      </c>
      <c r="B29" s="22" t="s">
        <v>44</v>
      </c>
      <c r="C29" s="22" t="s">
        <v>151</v>
      </c>
      <c r="D29" s="22" t="s">
        <v>75</v>
      </c>
      <c r="E29" s="26" t="s">
        <v>144</v>
      </c>
      <c r="F29" s="22">
        <v>13.0</v>
      </c>
      <c r="G29" s="22" t="s">
        <v>152</v>
      </c>
      <c r="H29" s="22" t="s">
        <v>127</v>
      </c>
      <c r="I29" s="22" t="s">
        <v>127</v>
      </c>
      <c r="J29" s="22" t="s">
        <v>127</v>
      </c>
      <c r="K29" s="22" t="s">
        <v>146</v>
      </c>
    </row>
    <row r="30" ht="15.75" customHeight="1">
      <c r="A30" s="27" t="s">
        <v>153</v>
      </c>
      <c r="B30" s="28"/>
      <c r="C30" s="28"/>
      <c r="D30" s="28"/>
      <c r="E30" s="28"/>
      <c r="F30" s="27">
        <v>137.0</v>
      </c>
      <c r="G30" s="29" t="s">
        <v>154</v>
      </c>
      <c r="H30" s="28"/>
      <c r="I30" s="28"/>
      <c r="J30" s="28"/>
      <c r="K30" s="28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15" t="s">
        <v>155</v>
      </c>
    </row>
    <row r="2">
      <c r="A2" s="9" t="s">
        <v>156</v>
      </c>
    </row>
    <row r="4">
      <c r="A4" s="30" t="s">
        <v>157</v>
      </c>
    </row>
    <row r="5">
      <c r="A5" s="9" t="s">
        <v>158</v>
      </c>
    </row>
    <row r="7">
      <c r="A7" s="31" t="s">
        <v>159</v>
      </c>
    </row>
    <row r="8">
      <c r="A8" s="31" t="s">
        <v>160</v>
      </c>
    </row>
    <row r="9">
      <c r="A9" s="31" t="s">
        <v>161</v>
      </c>
    </row>
    <row r="10">
      <c r="A10" s="31" t="s">
        <v>162</v>
      </c>
    </row>
    <row r="11">
      <c r="A11" s="31" t="s">
        <v>163</v>
      </c>
    </row>
    <row r="12">
      <c r="A12" s="31" t="s">
        <v>164</v>
      </c>
    </row>
    <row r="13">
      <c r="A13" s="31" t="s">
        <v>165</v>
      </c>
    </row>
    <row r="14">
      <c r="A14" s="31" t="s">
        <v>166</v>
      </c>
    </row>
    <row r="17">
      <c r="A17" s="30" t="s">
        <v>167</v>
      </c>
    </row>
    <row r="18">
      <c r="A18" s="9" t="s">
        <v>168</v>
      </c>
    </row>
    <row r="20">
      <c r="A20" s="31" t="s">
        <v>169</v>
      </c>
    </row>
    <row r="21" ht="15.75" customHeight="1">
      <c r="A21" s="31" t="s">
        <v>170</v>
      </c>
    </row>
    <row r="22" ht="15.75" customHeight="1">
      <c r="A22" s="31" t="s">
        <v>171</v>
      </c>
    </row>
    <row r="23" ht="15.75" customHeight="1">
      <c r="A23" s="31" t="s">
        <v>172</v>
      </c>
    </row>
    <row r="24" ht="15.75" customHeight="1">
      <c r="A24" s="31" t="s">
        <v>173</v>
      </c>
    </row>
    <row r="25" ht="15.75" customHeight="1">
      <c r="A25" s="31" t="s">
        <v>174</v>
      </c>
    </row>
    <row r="26" ht="15.75" customHeight="1">
      <c r="A26" s="31" t="s">
        <v>175</v>
      </c>
    </row>
    <row r="27" ht="15.75" customHeight="1">
      <c r="A27" s="31" t="s">
        <v>176</v>
      </c>
    </row>
    <row r="28" ht="15.75" customHeight="1">
      <c r="A28" s="31" t="s">
        <v>177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50.0"/>
    <col customWidth="1" min="3" max="3" width="25.0"/>
    <col customWidth="1" min="4" max="4" width="40.0"/>
    <col customWidth="1" min="5" max="26" width="8.71"/>
  </cols>
  <sheetData>
    <row r="2">
      <c r="B2" s="2" t="s">
        <v>178</v>
      </c>
    </row>
    <row r="3">
      <c r="B3" s="9" t="s">
        <v>179</v>
      </c>
    </row>
    <row r="5">
      <c r="A5" s="16"/>
      <c r="B5" s="16" t="s">
        <v>180</v>
      </c>
      <c r="C5" s="16" t="s">
        <v>181</v>
      </c>
      <c r="D5" s="32" t="s">
        <v>182</v>
      </c>
    </row>
    <row r="6" ht="30.0" customHeight="1">
      <c r="B6" s="33" t="s">
        <v>183</v>
      </c>
      <c r="C6" s="34" t="s">
        <v>184</v>
      </c>
      <c r="D6" s="33"/>
    </row>
    <row r="7" ht="30.0" customHeight="1">
      <c r="B7" s="33" t="s">
        <v>185</v>
      </c>
      <c r="C7" s="34" t="s">
        <v>184</v>
      </c>
      <c r="D7" s="33"/>
    </row>
    <row r="8" ht="30.0" customHeight="1">
      <c r="B8" s="33" t="s">
        <v>186</v>
      </c>
      <c r="C8" s="34" t="s">
        <v>184</v>
      </c>
      <c r="D8" s="33"/>
    </row>
    <row r="9" ht="30.0" customHeight="1">
      <c r="B9" s="33" t="s">
        <v>187</v>
      </c>
      <c r="C9" s="34" t="s">
        <v>184</v>
      </c>
      <c r="D9" s="33"/>
    </row>
    <row r="10" ht="30.0" customHeight="1">
      <c r="B10" s="33" t="s">
        <v>188</v>
      </c>
      <c r="C10" s="34" t="s">
        <v>184</v>
      </c>
      <c r="D10" s="33"/>
    </row>
    <row r="11" ht="30.0" customHeight="1">
      <c r="B11" s="33" t="s">
        <v>189</v>
      </c>
      <c r="C11" s="34" t="s">
        <v>184</v>
      </c>
      <c r="D11" s="33"/>
    </row>
    <row r="12" ht="30.0" customHeight="1">
      <c r="B12" s="33" t="s">
        <v>190</v>
      </c>
      <c r="C12" s="34" t="s">
        <v>184</v>
      </c>
      <c r="D12" s="33"/>
    </row>
    <row r="13" ht="30.0" customHeight="1">
      <c r="B13" s="33" t="s">
        <v>191</v>
      </c>
      <c r="C13" s="34" t="s">
        <v>184</v>
      </c>
      <c r="D13" s="33"/>
    </row>
    <row r="14" ht="30.0" customHeight="1">
      <c r="B14" s="33" t="s">
        <v>192</v>
      </c>
      <c r="C14" s="34" t="s">
        <v>184</v>
      </c>
      <c r="D14" s="33"/>
    </row>
    <row r="15" ht="30.0" customHeight="1">
      <c r="B15" s="33" t="s">
        <v>193</v>
      </c>
      <c r="C15" s="34" t="s">
        <v>194</v>
      </c>
      <c r="D15" s="35" t="s">
        <v>195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2026-06-25T22:39:08Z</dcterms:created>
  <dc:creator>openpyxl</dc:creator>
</cp:coreProperties>
</file>