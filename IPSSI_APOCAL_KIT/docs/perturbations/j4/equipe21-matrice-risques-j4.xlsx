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📘 Instructions" sheetId="1" state="visible" r:id="rId1"/>
    <sheet xmlns:r="http://schemas.openxmlformats.org/officeDocument/2006/relationships" name="🚨 Registre des Risques" sheetId="2" state="visible" r:id="rId2"/>
    <sheet xmlns:r="http://schemas.openxmlformats.org/officeDocument/2006/relationships" name="📋 Impact Backlog" sheetId="3" state="visible" r:id="rId3"/>
  </sheets>
  <definedNames>
    <definedName name="_xlnm._FilterDatabase" localSheetId="1" hidden="1">'🚨 Registre des Risques'!$B$3:$J$3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30">
    <font>
      <name val="Calibri"/>
      <charset val="1"/>
      <family val="2"/>
      <color theme="1"/>
      <sz val="11"/>
    </font>
    <font>
      <name val="Arial"/>
      <charset val="1"/>
      <b val="1"/>
      <color rgb="FF2D31A6"/>
      <sz val="18"/>
    </font>
    <font>
      <name val="Arial"/>
      <charset val="1"/>
      <color rgb="FF6B7280"/>
      <sz val="9"/>
    </font>
    <font>
      <name val="Arial"/>
      <charset val="1"/>
      <b val="1"/>
      <color rgb="FF2D31A6"/>
      <sz val="10"/>
    </font>
    <font>
      <name val="Arial"/>
      <charset val="1"/>
      <b val="1"/>
      <color rgb="FF4F46E5"/>
      <sz val="13"/>
    </font>
    <font>
      <name val="Arial"/>
      <charset val="1"/>
      <b val="1"/>
      <color rgb="FF111827"/>
      <sz val="11"/>
    </font>
    <font>
      <name val="Arial"/>
      <charset val="1"/>
      <color rgb="FF374151"/>
      <sz val="10"/>
    </font>
    <font>
      <name val="Arial"/>
      <charset val="1"/>
      <b val="1"/>
      <color rgb="FFFFFFFF"/>
      <sz val="15"/>
    </font>
    <font>
      <name val="Arial"/>
      <charset val="1"/>
      <b val="1"/>
      <color rgb="FFFFFFFF"/>
      <sz val="9"/>
    </font>
    <font>
      <name val="Arial"/>
      <charset val="1"/>
      <b val="1"/>
      <color rgb="FF4F46E5"/>
      <sz val="10"/>
    </font>
    <font>
      <name val="Arial"/>
      <charset val="1"/>
      <b val="1"/>
      <color rgb="FFDC2626"/>
      <sz val="8"/>
    </font>
    <font>
      <name val="Arial"/>
      <charset val="1"/>
      <color rgb="FF374151"/>
      <sz val="9"/>
    </font>
    <font>
      <name val="Arial"/>
      <charset val="1"/>
      <b val="1"/>
      <color rgb="FF991B1B"/>
      <sz val="12"/>
    </font>
    <font>
      <name val="Arial"/>
      <charset val="1"/>
      <b val="1"/>
      <color rgb="FF374151"/>
      <sz val="9"/>
    </font>
    <font>
      <name val="Arial"/>
      <charset val="1"/>
      <color rgb="FF6B7280"/>
      <sz val="8"/>
    </font>
    <font>
      <name val="Arial"/>
      <charset val="1"/>
      <b val="1"/>
      <color rgb="FF4F46E5"/>
      <sz val="8"/>
    </font>
    <font>
      <name val="Arial"/>
      <charset val="1"/>
      <b val="1"/>
      <color rgb="FFD97706"/>
      <sz val="12"/>
    </font>
    <font>
      <name val="Arial"/>
      <charset val="1"/>
      <b val="1"/>
      <color rgb="FFD97706"/>
      <sz val="8"/>
    </font>
    <font>
      <name val="Arial"/>
      <charset val="1"/>
      <b val="1"/>
      <color rgb="FF6B7280"/>
      <sz val="8"/>
    </font>
    <font>
      <name val="Arial"/>
      <charset val="1"/>
      <b val="1"/>
      <color rgb="FF059669"/>
      <sz val="8"/>
    </font>
    <font>
      <name val="Arial"/>
      <charset val="1"/>
      <b val="1"/>
      <color rgb="FFD97706"/>
      <sz val="11"/>
    </font>
    <font>
      <name val="Arial"/>
      <charset val="1"/>
      <b val="1"/>
      <color rgb="FF059669"/>
      <sz val="11"/>
    </font>
    <font>
      <name val="Arial"/>
      <charset val="1"/>
      <b val="1"/>
      <color rgb="FF4F46E5"/>
      <sz val="9"/>
    </font>
    <font>
      <name val="Arial"/>
      <charset val="1"/>
      <b val="1"/>
      <color rgb="FFFFFFFF"/>
      <sz val="14"/>
    </font>
    <font>
      <name val="Arial"/>
      <charset val="1"/>
      <i val="1"/>
      <color rgb="FF4F46E5"/>
      <sz val="9"/>
    </font>
    <font>
      <name val="Arial"/>
      <charset val="1"/>
      <b val="1"/>
      <color rgb="FFDC2626"/>
      <sz val="9"/>
    </font>
    <font>
      <name val="Arial"/>
      <charset val="1"/>
      <i val="1"/>
      <color rgb="FF374151"/>
      <sz val="9"/>
    </font>
    <font>
      <name val="Arial"/>
      <charset val="1"/>
      <b val="1"/>
      <color rgb="FF4F46E5"/>
      <sz val="11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2"/>
    </font>
  </fonts>
  <fills count="12">
    <fill>
      <patternFill/>
    </fill>
    <fill>
      <patternFill patternType="gray125"/>
    </fill>
    <fill>
      <patternFill patternType="solid">
        <fgColor rgb="FFDC2626"/>
        <bgColor rgb="FF991B1B"/>
      </patternFill>
    </fill>
    <fill>
      <patternFill patternType="solid">
        <fgColor rgb="FFFEF2F2"/>
        <bgColor rgb="FFEEF2FF"/>
      </patternFill>
    </fill>
    <fill>
      <patternFill patternType="solid">
        <fgColor rgb="FFFEE2E2"/>
        <bgColor rgb="FFFFEDD5"/>
      </patternFill>
    </fill>
    <fill>
      <patternFill patternType="solid">
        <fgColor rgb="FFEEF2FF"/>
        <bgColor rgb="FFFEF2F2"/>
      </patternFill>
    </fill>
    <fill>
      <patternFill patternType="solid">
        <fgColor rgb="FFFFEDD5"/>
        <bgColor rgb="FFFEF3C7"/>
      </patternFill>
    </fill>
    <fill>
      <patternFill patternType="solid">
        <fgColor rgb="FFFEF3C7"/>
        <bgColor rgb="FFFEF9C3"/>
      </patternFill>
    </fill>
    <fill>
      <patternFill patternType="solid">
        <fgColor rgb="FFD1FAE5"/>
        <bgColor rgb="FFDCFCE7"/>
      </patternFill>
    </fill>
    <fill>
      <patternFill patternType="solid">
        <fgColor rgb="FFFEF9C3"/>
        <bgColor rgb="FFFEF3C7"/>
      </patternFill>
    </fill>
    <fill>
      <patternFill patternType="solid">
        <fgColor rgb="FFDCFCE7"/>
        <bgColor rgb="FFD1FAE5"/>
      </patternFill>
    </fill>
    <fill>
      <patternFill patternType="solid">
        <fgColor rgb="FF4F46E5"/>
        <bgColor rgb="FF2D31A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28" fillId="11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center" vertical="center" wrapText="1"/>
    </xf>
    <xf numFmtId="0" fontId="23" fillId="11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top" wrapText="1"/>
    </xf>
    <xf numFmtId="0" fontId="27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9" fillId="11" borderId="0" applyAlignment="1" pivotButton="0" quotePrefix="0" xfId="0">
      <alignment horizontal="center" vertical="center"/>
    </xf>
    <xf numFmtId="0" fontId="0" fillId="11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FEDD5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1FAE5"/>
      <rgbColor rgb="FFFEF3C7"/>
      <rgbColor rgb="FFFEF2F2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111827"/>
      <rgbColor rgb="FF333300"/>
      <rgbColor rgb="FF991B1B"/>
      <rgbColor rgb="FF993366"/>
      <rgbColor rgb="FF2D31A6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F46E5"/>
    <outlinePr summaryBelow="1" summaryRight="1"/>
    <pageSetUpPr/>
  </sheetPr>
  <dimension ref="B2:B36"/>
  <sheetViews>
    <sheetView tabSelected="1" zoomScaleNormal="100" workbookViewId="0">
      <selection activeCell="A1" sqref="A1"/>
    </sheetView>
  </sheetViews>
  <sheetFormatPr baseColWidth="8" defaultColWidth="8.7109375" defaultRowHeight="15"/>
  <cols>
    <col width="4" customWidth="1" min="1" max="1"/>
    <col width="92" customWidth="1" min="2" max="2"/>
  </cols>
  <sheetData>
    <row r="2" ht="22.15" customHeight="1">
      <c r="B2" s="8" t="inlineStr">
        <is>
          <t>🚨 Registre des Risques — Template</t>
        </is>
      </c>
    </row>
    <row r="3">
      <c r="B3" s="9" t="inlineStr">
        <is>
          <t>Cours Méthodologies Agile • RNCP39608-BC04-FM03 • CDWFS</t>
        </is>
      </c>
    </row>
    <row r="4">
      <c r="B4" s="10" t="inlineStr">
        <is>
          <t>Mohamed EL AFRIT — www.mohamedelafrit.com</t>
        </is>
      </c>
    </row>
    <row r="6" ht="16.15" customHeight="1">
      <c r="B6" s="11" t="inlineStr">
        <is>
          <t>📖 Comment utiliser ce template</t>
        </is>
      </c>
    </row>
    <row r="8">
      <c r="B8" s="12" t="inlineStr">
        <is>
          <t>1. L'onglet « Registre des Risques »</t>
        </is>
      </c>
    </row>
    <row r="9" ht="35.1" customHeight="1">
      <c r="B9" s="13" t="inlineStr">
        <is>
          <t>C'est le tableau principal. Chaque ligne = 1 risque identifié avec son évaluation, sa stratégie de réponse et son impact sur le backlog. Les 10 risques SkillHub sont pré-remplis comme exemple. Remplacez-les par vos propres risques.</t>
        </is>
      </c>
    </row>
    <row r="11">
      <c r="B11" s="12" t="inlineStr">
        <is>
          <t>2. Colonne « ID »</t>
        </is>
      </c>
    </row>
    <row r="12" ht="23.85" customHeight="1">
      <c r="B12" s="13" t="inlineStr">
        <is>
          <t>Identifiant unique du risque (R01, R02...). Utilisez ce code pour référencer le risque dans le backlog et les Sprint Reviews. Gardez la numérotation séquentielle.</t>
        </is>
      </c>
    </row>
    <row r="14">
      <c r="B14" s="12" t="inlineStr">
        <is>
          <t>3. Colonne « Catégorie »</t>
        </is>
      </c>
    </row>
    <row r="15" ht="35.1" customHeight="1">
      <c r="B15" s="13" t="inlineStr">
        <is>
          <t>Classez chaque risque dans l'une des 4 catégories du menu déroulant : Technique (performance, compatibilité, dette technique), Organisationnel (vélocité, scope creep, communication), Externe (API tierces, hébergeur, réglementation), Sécurité (failles, RGPD, données sensibles).</t>
        </is>
      </c>
    </row>
    <row r="17">
      <c r="B17" s="12" t="inlineStr">
        <is>
          <t>4. Colonne « Description du risque »</t>
        </is>
      </c>
    </row>
    <row r="18" ht="35.1" customHeight="1">
      <c r="B18" s="13" t="inlineStr">
        <is>
          <t>Décrivez le risque de manière précise et factuelle. Mauvais : « Le site pourrait planter ». Bon : « La base de données PostgreSQL pourrait être surchargée au-delà de 500 utilisateurs simultanés, causant des timeouts sur les requêtes de listing des ateliers. »</t>
        </is>
      </c>
    </row>
    <row r="20">
      <c r="B20" s="12" t="inlineStr">
        <is>
          <t>5. Colonnes « Probabilité » et « Impact »</t>
        </is>
      </c>
    </row>
    <row r="21" ht="23.85" customHeight="1">
      <c r="B21" s="13" t="inlineStr">
        <is>
          <t>Évaluez chaque risque de 1 à 4. Probabilité : 1=très faible, 2=faible, 3=moyenne, 4=haute. Impact : 1=faible, 2=modéré, 3=fort, 4=critique. Le score est calculé automatiquement (P × I). Utilisez les menus déroulants.</t>
        </is>
      </c>
    </row>
    <row r="23">
      <c r="B23" s="12" t="inlineStr">
        <is>
          <t>6. Colonne « Score » (formule automatique)</t>
        </is>
      </c>
    </row>
    <row r="24" ht="35.1" customHeight="1">
      <c r="B24" s="13" t="inlineStr">
        <is>
          <t>Le score = Probabilité × Impact est calculé par une formule. Il va de 1 à 16. Interprétation : 1-3 = Faible (vert), 4-6 = Modéré (jaune), 8-9 = Élevé (orange), 12-16 = Critique (rouge). Les risques ≥ 8 nécessitent une action dans le backlog.</t>
        </is>
      </c>
    </row>
    <row r="26">
      <c r="B26" s="12" t="inlineStr">
        <is>
          <t>7. Colonne « Stratégie »</t>
        </is>
      </c>
    </row>
    <row r="27" ht="35.1" customHeight="1">
      <c r="B27" s="13" t="inlineStr">
        <is>
          <t>Choisissez dans le menu déroulant : Atténuer (réduire probabilité ou impact), Éviter (changer le plan pour éliminer le risque), Accepter (ne rien faire si score faible), Transférer (déléguer à un tiers). Voir les 4 fiches stratégie dans le cours Ch.14.</t>
        </is>
      </c>
    </row>
    <row r="29">
      <c r="B29" s="12" t="inlineStr">
        <is>
          <t>8. Colonne « Action d'atténuation »</t>
        </is>
      </c>
    </row>
    <row r="30" ht="23.85" customHeight="1">
      <c r="B30" s="13" t="inlineStr">
        <is>
          <t>Décrivez concrètement ce que l'équipe va faire pour traiter le risque. Soyez précis : « Implémenter un cache Redis sur les endpoints GET /ateliers et GET /users » est mieux que « Améliorer les performances ».</t>
        </is>
      </c>
    </row>
    <row r="32">
      <c r="B32" s="12" t="inlineStr">
        <is>
          <t>9. Colonne « Impact Backlog »</t>
        </is>
      </c>
    </row>
    <row r="33" ht="23.85" customHeight="1">
      <c r="B33" s="13" t="inlineStr">
        <is>
          <t>Indiquez le nombre de User Stories générées par ce risque et le total de SP ajoutés au backlog. Si la stratégie est Accepter → « Aucun ». C'est le lien direct entre le registre des risques et le Product Backlog.</t>
        </is>
      </c>
    </row>
    <row r="35">
      <c r="B35" s="12" t="inlineStr">
        <is>
          <t>10. L'onglet « Impact sur le Backlog »</t>
        </is>
      </c>
    </row>
    <row r="36" ht="35.1" customHeight="1">
      <c r="B36" s="13" t="inlineStr">
        <is>
          <t>Détaille les User Stories techniques générées par les risques. Chaque story est rédigée au format standard « En tant que... » avec estimation en SP et affectation sprint. Ces stories doivent être ajoutées à votre Product Backlog (Ch.8) et intégrées au Release Planning (Ch.9).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DC2626"/>
    <outlinePr summaryBelow="1" summaryRight="1"/>
    <pageSetUpPr/>
  </sheetPr>
  <dimension ref="B1:J26"/>
  <sheetViews>
    <sheetView zoomScaleNormal="100" workbookViewId="0">
      <pane xSplit="1" ySplit="3" topLeftCell="B4" activePane="bottomRight" state="frozen"/>
      <selection pane="bottomRight" activeCell="A1" sqref="A1"/>
      <selection pane="bottomLeft" activeCell="A4" sqref="A4"/>
      <selection pane="topRight" activeCell="B1" sqref="B1"/>
    </sheetView>
  </sheetViews>
  <sheetFormatPr baseColWidth="8" defaultColWidth="8.7109375" defaultRowHeight="15"/>
  <cols>
    <col width="4" customWidth="1" min="1" max="1"/>
    <col width="6" customWidth="1" min="2" max="2"/>
    <col width="13" customWidth="1" min="3" max="3"/>
    <col width="42" customWidth="1" min="4" max="4"/>
    <col width="8" customWidth="1" min="5" max="7"/>
    <col width="12" customWidth="1" min="8" max="8"/>
    <col width="35" customWidth="1" min="9" max="9"/>
    <col width="18" customWidth="1" min="10" max="10"/>
  </cols>
  <sheetData>
    <row r="1" ht="37.5" customHeight="1">
      <c r="B1" s="7" t="inlineStr">
        <is>
          <t>🚨 REGISTRE DES RISQUES — EduTutor IA</t>
        </is>
      </c>
    </row>
    <row r="2">
      <c r="B2" s="6" t="inlineStr">
        <is>
          <t>Projet : EduTutor IA | Date : 02/07/2026 | Responsable : Product Owner | Revu à chaque Sprint Review</t>
        </is>
      </c>
    </row>
    <row r="3" ht="31.5" customHeight="1">
      <c r="B3" s="14" t="inlineStr">
        <is>
          <t>ID</t>
        </is>
      </c>
      <c r="C3" s="14" t="inlineStr">
        <is>
          <t>Catégorie</t>
        </is>
      </c>
      <c r="D3" s="14" t="inlineStr">
        <is>
          <t>Description du risque</t>
        </is>
      </c>
      <c r="E3" s="14" t="inlineStr">
        <is>
          <t>Prob. (1-4)</t>
        </is>
      </c>
      <c r="F3" s="14" t="inlineStr">
        <is>
          <t>Impact (1-4)</t>
        </is>
      </c>
      <c r="G3" s="14" t="inlineStr">
        <is>
          <t>Score</t>
        </is>
      </c>
      <c r="H3" s="14" t="inlineStr">
        <is>
          <t>Stratégie</t>
        </is>
      </c>
      <c r="I3" s="14" t="inlineStr">
        <is>
          <t>Action d'atténuation</t>
        </is>
      </c>
      <c r="J3" s="14" t="inlineStr">
        <is>
          <t>Impact Backlog</t>
        </is>
      </c>
    </row>
    <row r="4" ht="48" customHeight="1">
      <c r="B4" s="15" t="inlineStr">
        <is>
          <t>R01</t>
        </is>
      </c>
      <c r="C4" s="16" t="inlineStr">
        <is>
          <t>Scalabilité</t>
        </is>
      </c>
      <c r="D4" s="17" t="inlineStr">
        <is>
          <t>Afflux massif d'utilisateurs provoquant une saturation des serveurs</t>
        </is>
      </c>
      <c r="E4" s="18" t="n">
        <v>4</v>
      </c>
      <c r="F4" s="18" t="n">
        <v>4</v>
      </c>
      <c r="G4" s="19">
        <f>E4*F4</f>
        <v/>
      </c>
      <c r="H4" s="20" t="inlineStr">
        <is>
          <t>Atténuer</t>
        </is>
      </c>
      <c r="I4" s="21" t="inlineStr">
        <is>
          <t>Mettre en place cache Redis, tests de charge, autoscaling cloud</t>
        </is>
      </c>
      <c r="J4" s="22" t="inlineStr">
        <is>
          <t>+2 stories (13 SP)</t>
        </is>
      </c>
    </row>
    <row r="5" ht="48" customHeight="1">
      <c r="B5" s="15" t="inlineStr">
        <is>
          <t>R02</t>
        </is>
      </c>
      <c r="C5" s="23" t="inlineStr">
        <is>
          <t>Accessibilité</t>
        </is>
      </c>
      <c r="D5" s="17" t="inlineStr">
        <is>
          <t>Non-conformité RGAA empêchant l'utilisation par des élèves en situation de handicap</t>
        </is>
      </c>
      <c r="E5" s="18" t="n">
        <v>3</v>
      </c>
      <c r="F5" s="18" t="n">
        <v>4</v>
      </c>
      <c r="G5" s="24">
        <f>E5*F5</f>
        <v/>
      </c>
      <c r="H5" s="20" t="inlineStr">
        <is>
          <t>Atténuer</t>
        </is>
      </c>
      <c r="I5" s="21" t="inlineStr">
        <is>
          <t>Audit RGAA, navigation clavier, contrastes, lecteurs d'écran</t>
        </is>
      </c>
      <c r="J5" s="22" t="inlineStr">
        <is>
          <t>+2 stories (8 SP)</t>
        </is>
      </c>
    </row>
    <row r="6" ht="48" customHeight="1">
      <c r="B6" s="15" t="inlineStr">
        <is>
          <t>R03</t>
        </is>
      </c>
      <c r="C6" s="23" t="inlineStr">
        <is>
          <t>Internationalisation</t>
        </is>
      </c>
      <c r="D6" s="17" t="inlineStr">
        <is>
          <t>Mauvaise traduction de l'interface ou des quiz générés par l'IA</t>
        </is>
      </c>
      <c r="E6" s="18" t="n">
        <v>3</v>
      </c>
      <c r="F6" s="18" t="n">
        <v>3</v>
      </c>
      <c r="G6" s="24">
        <f>E6*F6</f>
        <v/>
      </c>
      <c r="H6" s="20" t="inlineStr">
        <is>
          <t>Atténuer</t>
        </is>
      </c>
      <c r="I6" s="21" t="inlineStr">
        <is>
          <t>Externaliser les langues et paramétrer la langue du LLM</t>
        </is>
      </c>
      <c r="J6" s="22" t="inlineStr">
        <is>
          <t>+2 stories (8 SP)</t>
        </is>
      </c>
    </row>
    <row r="7" ht="48" customHeight="1">
      <c r="B7" s="15" t="inlineStr">
        <is>
          <t>R04</t>
        </is>
      </c>
      <c r="C7" s="25" t="inlineStr">
        <is>
          <t>Technique</t>
        </is>
      </c>
      <c r="D7" s="17" t="inlineStr">
        <is>
          <t>Indisponibilité du modèle LLM principal</t>
        </is>
      </c>
      <c r="E7" s="18" t="n">
        <v>2</v>
      </c>
      <c r="F7" s="18" t="n">
        <v>4</v>
      </c>
      <c r="G7" s="24">
        <f>E7*F7</f>
        <v/>
      </c>
      <c r="H7" s="20" t="inlineStr">
        <is>
          <t>Atténuer</t>
        </is>
      </c>
      <c r="I7" s="21" t="inlineStr">
        <is>
          <t>Prévoir un modèle IA secondaire et surveillance</t>
        </is>
      </c>
      <c r="J7" s="26" t="inlineStr">
        <is>
          <t>+1 story (5 SP)</t>
        </is>
      </c>
    </row>
    <row r="8" ht="48" customHeight="1">
      <c r="B8" s="15" t="inlineStr">
        <is>
          <t>R05</t>
        </is>
      </c>
      <c r="C8" s="27" t="inlineStr">
        <is>
          <t>Sécurité</t>
        </is>
      </c>
      <c r="D8" s="17" t="inlineStr">
        <is>
          <t>Nouvelle attaque de prompt injection sur le générateur de quiz</t>
        </is>
      </c>
      <c r="E8" s="18" t="n">
        <v>2</v>
      </c>
      <c r="F8" s="18" t="n">
        <v>4</v>
      </c>
      <c r="G8" s="28">
        <f>E8*F8</f>
        <v/>
      </c>
      <c r="H8" s="20" t="inlineStr">
        <is>
          <t>Atténuer</t>
        </is>
      </c>
      <c r="I8" s="21" t="inlineStr">
        <is>
          <t>Tests adversariaux CI, validation des sorties, prompts sécurisés</t>
        </is>
      </c>
      <c r="J8" s="22" t="inlineStr">
        <is>
          <t>+1 story (5 SP)</t>
        </is>
      </c>
    </row>
    <row r="9" ht="48" customHeight="1">
      <c r="B9" s="15" t="inlineStr">
        <is>
          <t>R06</t>
        </is>
      </c>
      <c r="C9" s="23" t="inlineStr">
        <is>
          <t>Technique</t>
        </is>
      </c>
      <c r="D9" s="17" t="inlineStr">
        <is>
          <t>Incompatibilité navigateur (UI cassée sur Safari ou Firefox, CSS Grid non supporté sur anciens navigateurs)</t>
        </is>
      </c>
      <c r="E9" s="18" t="n">
        <v>3</v>
      </c>
      <c r="F9" s="18" t="n">
        <v>2</v>
      </c>
      <c r="G9" s="28">
        <f>E9*F9</f>
        <v/>
      </c>
      <c r="H9" s="20" t="inlineStr">
        <is>
          <t>Atténuer</t>
        </is>
      </c>
      <c r="I9" s="21" t="inlineStr">
        <is>
          <t>Ajouter des tests cross-browser automatisés au pipeline CI avec Playwright (Chrome, Firefox, Safari)</t>
        </is>
      </c>
      <c r="J9" s="22" t="inlineStr">
        <is>
          <t>+1 story (2 SP)</t>
        </is>
      </c>
    </row>
    <row r="10" ht="48" customHeight="1">
      <c r="B10" s="15" t="inlineStr">
        <is>
          <t>R07</t>
        </is>
      </c>
      <c r="C10" s="16" t="inlineStr">
        <is>
          <t>Sécurité</t>
        </is>
      </c>
      <c r="D10" s="17" t="inlineStr">
        <is>
          <t>Données personnelles non conformes RGPD (pas de consentement cookies, pas de droit à l'oubli, pas de politique de confidentialité)</t>
        </is>
      </c>
      <c r="E10" s="18" t="n">
        <v>2</v>
      </c>
      <c r="F10" s="18" t="n">
        <v>4</v>
      </c>
      <c r="G10" s="24">
        <f>E10*F10</f>
        <v/>
      </c>
      <c r="H10" s="20" t="inlineStr">
        <is>
          <t>Éviter</t>
        </is>
      </c>
      <c r="I10" s="21" t="inlineStr">
        <is>
          <t>Implémenter : 1) bandeau de consentement cookies, 2) endpoint de suppression de compte (RGPD Art.17), 3) page politique de confidentialité</t>
        </is>
      </c>
      <c r="J10" s="22" t="inlineStr">
        <is>
          <t>+2 stories (5 SP)</t>
        </is>
      </c>
    </row>
    <row r="11" ht="48" customHeight="1">
      <c r="B11" s="15" t="inlineStr">
        <is>
          <t>R08</t>
        </is>
      </c>
      <c r="C11" s="25" t="inlineStr">
        <is>
          <t>Organisationnel</t>
        </is>
      </c>
      <c r="D11" s="17" t="inlineStr">
        <is>
          <t>Scope creep excessif (PO ajoute trop de stories à chaque Sprint Review sans en retirer)</t>
        </is>
      </c>
      <c r="E11" s="18" t="n">
        <v>3</v>
      </c>
      <c r="F11" s="18" t="n">
        <v>3</v>
      </c>
      <c r="G11" s="24">
        <f>E11*F11</f>
        <v/>
      </c>
      <c r="H11" s="20" t="inlineStr">
        <is>
          <t>Atténuer</t>
        </is>
      </c>
      <c r="I11" s="21" t="inlineStr">
        <is>
          <t>Règle : chaque story ajoutée = une story COULD retirée. Surveiller la courbe Scope du Burnup Chart. Alerter si scope &gt; +10%.</t>
        </is>
      </c>
      <c r="J11" s="26" t="inlineStr">
        <is>
          <t>Processus (pas de story)</t>
        </is>
      </c>
    </row>
    <row r="12" ht="48" customHeight="1">
      <c r="B12" s="15" t="inlineStr">
        <is>
          <t>R09</t>
        </is>
      </c>
      <c r="C12" s="27" t="inlineStr">
        <is>
          <t>Externe</t>
        </is>
      </c>
      <c r="D12" s="17" t="inlineStr">
        <is>
          <t>Changement de la grille tarifaire de l'hébergeur cloud en cours de projet (augmentation imprévue)</t>
        </is>
      </c>
      <c r="E12" s="18" t="n">
        <v>1</v>
      </c>
      <c r="F12" s="18" t="n">
        <v>2</v>
      </c>
      <c r="G12" s="29">
        <f>E12*F12</f>
        <v/>
      </c>
      <c r="H12" s="20" t="inlineStr">
        <is>
          <t>Accepter</t>
        </is>
      </c>
      <c r="I12" s="21" t="inlineStr">
        <is>
          <t>Surveiller les notifications de l'hébergeur. Impact faible sur un projet de 10 semaines. Budget tampon de 10%.</t>
        </is>
      </c>
      <c r="J12" s="26" t="inlineStr">
        <is>
          <t>Aucun (risque accepté)</t>
        </is>
      </c>
    </row>
    <row r="13" ht="48" customHeight="1">
      <c r="B13" s="15" t="inlineStr">
        <is>
          <t>R10</t>
        </is>
      </c>
      <c r="C13" s="23" t="inlineStr">
        <is>
          <t>Technique</t>
        </is>
      </c>
      <c r="D13" s="17" t="inlineStr">
        <is>
          <t>Accessibilité insuffisante (non-conformité WCAG 2.1, exclusion d'utilisateurs en situation de handicap)</t>
        </is>
      </c>
      <c r="E13" s="18" t="n">
        <v>3</v>
      </c>
      <c r="F13" s="18" t="n">
        <v>3</v>
      </c>
      <c r="G13" s="24">
        <f>E13*F13</f>
        <v/>
      </c>
      <c r="H13" s="20" t="inlineStr">
        <is>
          <t>Atténuer</t>
        </is>
      </c>
      <c r="I13" s="21" t="inlineStr">
        <is>
          <t>Intégrer un audit d'accessibilité automatisé (axe-core) dans le pipeline CI + corriger les violations critiques identifiées</t>
        </is>
      </c>
      <c r="J13" s="22" t="inlineStr">
        <is>
          <t>+1 story (2 SP)</t>
        </is>
      </c>
    </row>
    <row r="14">
      <c r="B14" s="5" t="inlineStr">
        <is>
          <t>⬇️  VOS RISQUES CI-DESSOUS — Remplacez les exemples et ajoutez vos propres risques  ⬇️</t>
        </is>
      </c>
    </row>
    <row r="15">
      <c r="B15" s="30" t="inlineStr">
        <is>
          <t>R11</t>
        </is>
      </c>
      <c r="C15" s="31" t="n"/>
      <c r="D15" s="32" t="n"/>
      <c r="E15" s="31" t="n"/>
      <c r="F15" s="31" t="n"/>
      <c r="G15" s="31">
        <f>E15*F15</f>
        <v/>
      </c>
      <c r="H15" s="31" t="n"/>
      <c r="I15" s="32" t="n"/>
      <c r="J15" s="31" t="n"/>
    </row>
    <row r="16">
      <c r="B16" s="30" t="inlineStr">
        <is>
          <t>R12</t>
        </is>
      </c>
      <c r="C16" s="31" t="n"/>
      <c r="D16" s="32" t="n"/>
      <c r="E16" s="31" t="n"/>
      <c r="F16" s="31" t="n"/>
      <c r="G16" s="31">
        <f>E16*F16</f>
        <v/>
      </c>
      <c r="H16" s="31" t="n"/>
      <c r="I16" s="32" t="n"/>
      <c r="J16" s="31" t="n"/>
    </row>
    <row r="17">
      <c r="B17" s="30" t="inlineStr">
        <is>
          <t>R13</t>
        </is>
      </c>
      <c r="C17" s="31" t="n"/>
      <c r="D17" s="32" t="n"/>
      <c r="E17" s="31" t="n"/>
      <c r="F17" s="31" t="n"/>
      <c r="G17" s="31">
        <f>E17*F17</f>
        <v/>
      </c>
      <c r="H17" s="31" t="n"/>
      <c r="I17" s="32" t="n"/>
      <c r="J17" s="31" t="n"/>
    </row>
    <row r="18">
      <c r="B18" s="30" t="inlineStr">
        <is>
          <t>R14</t>
        </is>
      </c>
      <c r="C18" s="31" t="n"/>
      <c r="D18" s="32" t="n"/>
      <c r="E18" s="31" t="n"/>
      <c r="F18" s="31" t="n"/>
      <c r="G18" s="31">
        <f>E18*F18</f>
        <v/>
      </c>
      <c r="H18" s="31" t="n"/>
      <c r="I18" s="32" t="n"/>
      <c r="J18" s="31" t="n"/>
    </row>
    <row r="19">
      <c r="B19" s="30" t="inlineStr">
        <is>
          <t>R15</t>
        </is>
      </c>
      <c r="C19" s="31" t="n"/>
      <c r="D19" s="32" t="n"/>
      <c r="E19" s="31" t="n"/>
      <c r="F19" s="31" t="n"/>
      <c r="G19" s="31">
        <f>E19*F19</f>
        <v/>
      </c>
      <c r="H19" s="31" t="n"/>
      <c r="I19" s="32" t="n"/>
      <c r="J19" s="31" t="n"/>
    </row>
    <row r="20">
      <c r="B20" s="30" t="inlineStr">
        <is>
          <t>R16</t>
        </is>
      </c>
      <c r="C20" s="31" t="n"/>
      <c r="D20" s="32" t="n"/>
      <c r="E20" s="31" t="n"/>
      <c r="F20" s="31" t="n"/>
      <c r="G20" s="31">
        <f>E20*F20</f>
        <v/>
      </c>
      <c r="H20" s="31" t="n"/>
      <c r="I20" s="32" t="n"/>
      <c r="J20" s="31" t="n"/>
    </row>
    <row r="21">
      <c r="B21" s="30" t="inlineStr">
        <is>
          <t>R17</t>
        </is>
      </c>
      <c r="C21" s="31" t="n"/>
      <c r="D21" s="32" t="n"/>
      <c r="E21" s="31" t="n"/>
      <c r="F21" s="31" t="n"/>
      <c r="G21" s="31">
        <f>E21*F21</f>
        <v/>
      </c>
      <c r="H21" s="31" t="n"/>
      <c r="I21" s="32" t="n"/>
      <c r="J21" s="31" t="n"/>
    </row>
    <row r="22">
      <c r="B22" s="30" t="inlineStr">
        <is>
          <t>R18</t>
        </is>
      </c>
      <c r="C22" s="31" t="n"/>
      <c r="D22" s="32" t="n"/>
      <c r="E22" s="31" t="n"/>
      <c r="F22" s="31" t="n"/>
      <c r="G22" s="31">
        <f>E22*F22</f>
        <v/>
      </c>
      <c r="H22" s="31" t="n"/>
      <c r="I22" s="32" t="n"/>
      <c r="J22" s="31" t="n"/>
    </row>
    <row r="23">
      <c r="B23" s="30" t="inlineStr">
        <is>
          <t>R19</t>
        </is>
      </c>
      <c r="C23" s="31" t="n"/>
      <c r="D23" s="32" t="n"/>
      <c r="E23" s="31" t="n"/>
      <c r="F23" s="31" t="n"/>
      <c r="G23" s="31">
        <f>E23*F23</f>
        <v/>
      </c>
      <c r="H23" s="31" t="n"/>
      <c r="I23" s="32" t="n"/>
      <c r="J23" s="31" t="n"/>
    </row>
    <row r="24">
      <c r="B24" s="30" t="inlineStr">
        <is>
          <t>R20</t>
        </is>
      </c>
      <c r="C24" s="31" t="n"/>
      <c r="D24" s="32" t="n"/>
      <c r="E24" s="31" t="n"/>
      <c r="F24" s="31" t="n"/>
      <c r="G24" s="31">
        <f>E24*F24</f>
        <v/>
      </c>
      <c r="H24" s="31" t="n"/>
      <c r="I24" s="32" t="n"/>
      <c r="J24" s="31" t="n"/>
    </row>
    <row r="26">
      <c r="B26" s="10" t="inlineStr">
        <is>
          <t>Template créé par Mohamed EL AFRIT — www.mohamedelafrit.com — Cours Agile CDWFS 2026</t>
        </is>
      </c>
    </row>
  </sheetData>
  <autoFilter ref="B3:J3"/>
  <mergeCells count="3">
    <mergeCell ref="B1:J1"/>
    <mergeCell ref="B14:J14"/>
    <mergeCell ref="B2:J2"/>
  </mergeCells>
  <dataValidations count="4">
    <dataValidation sqref="C4:C13 C15:C24" showDropDown="0" showInputMessage="0" showErrorMessage="0" allowBlank="1" promptTitle="Catégorie" prompt="Technique, Organisationnel, Externe ou Sécurité" type="list">
      <formula1>"Technique,Organisationnel,Externe,Sécurité"</formula1>
      <formula2>0</formula2>
    </dataValidation>
    <dataValidation sqref="E4:E13 E15:E24" showDropDown="0" showInputMessage="0" showErrorMessage="0" allowBlank="1" promptTitle="Probabilité" prompt="1=très faible, 2=faible, 3=moyenne, 4=haute" type="list">
      <formula1>"1,2,3,4"</formula1>
      <formula2>0</formula2>
    </dataValidation>
    <dataValidation sqref="F4:F13 F15:F24" showDropDown="0" showInputMessage="0" showErrorMessage="0" allowBlank="1" promptTitle="Impact" prompt="1=faible, 2=modéré, 3=fort, 4=critique" type="list">
      <formula1>"1,2,3,4"</formula1>
      <formula2>0</formula2>
    </dataValidation>
    <dataValidation sqref="H4:H13 H15:H24" showDropDown="0" showInputMessage="0" showErrorMessage="0" allowBlank="1" promptTitle="Stratégie" prompt="Atténuer, Éviter, Accepter ou Transférer" type="list">
      <formula1>"Atténuer,Éviter,Accepter,Transférer"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4F46E5"/>
    <outlinePr summaryBelow="1" summaryRight="1"/>
    <pageSetUpPr/>
  </sheetPr>
  <dimension ref="B1:G33"/>
  <sheetViews>
    <sheetView zoomScaleNormal="100" workbookViewId="0">
      <selection activeCell="A1" sqref="A1"/>
    </sheetView>
  </sheetViews>
  <sheetFormatPr baseColWidth="8" defaultColWidth="8.7109375" defaultRowHeight="15"/>
  <cols>
    <col width="4" customWidth="1" min="1" max="1"/>
    <col width="10" customWidth="1" min="2" max="2"/>
    <col width="12" customWidth="1" min="3" max="3"/>
    <col width="55" customWidth="1" min="4" max="4"/>
    <col width="8" customWidth="1" min="5" max="6"/>
    <col width="30" customWidth="1" min="7" max="7"/>
  </cols>
  <sheetData>
    <row r="1" ht="34.5" customHeight="1">
      <c r="B1" s="4" t="inlineStr">
        <is>
          <t>📋 IMPACT DES RISQUES SUR LE PRODUCT BACKLOG</t>
        </is>
      </c>
    </row>
    <row r="2" ht="27.75" customHeight="1">
      <c r="B2" s="3" t="inlineStr">
        <is>
          <t>Les actions d'atténuation des risques ≥ 8 deviennent des User Stories techniques ajoutées au Product Backlog et priorisées par le PO.</t>
        </is>
      </c>
    </row>
    <row r="3" ht="27.75" customHeight="1">
      <c r="B3" s="33" t="inlineStr">
        <is>
          <t>Risque source</t>
        </is>
      </c>
      <c r="C3" s="33" t="inlineStr">
        <is>
          <t>Story ID</t>
        </is>
      </c>
      <c r="D3" s="33" t="inlineStr">
        <is>
          <t>User Story (format standard)</t>
        </is>
      </c>
      <c r="E3" s="33" t="inlineStr">
        <is>
          <t>SP</t>
        </is>
      </c>
      <c r="F3" s="33" t="inlineStr">
        <is>
          <t>Sprint</t>
        </is>
      </c>
      <c r="G3" s="33" t="inlineStr">
        <is>
          <t>Justification</t>
        </is>
      </c>
    </row>
    <row r="4" ht="43.5" customHeight="1">
      <c r="B4" s="34" t="inlineStr">
        <is>
          <t>R01</t>
        </is>
      </c>
      <c r="C4" s="35" t="inlineStr">
        <is>
          <t>US-R01a</t>
        </is>
      </c>
      <c r="D4" s="36" t="inlineStr">
        <is>
          <t>En tant que dev, je veux implémenter le refresh token JWT avec rotation afin de limiter la durée de vie des tokens volés</t>
        </is>
      </c>
      <c r="E4" s="37" t="n">
        <v>3</v>
      </c>
      <c r="F4" s="38" t="inlineStr">
        <is>
          <t>S2</t>
        </is>
      </c>
      <c r="G4" s="21" t="inlineStr">
        <is>
          <t>Score 12 — Faille critique : un token volé donne accès permanent sans refresh</t>
        </is>
      </c>
    </row>
    <row r="5" ht="43.5" customHeight="1">
      <c r="B5" s="34" t="inlineStr">
        <is>
          <t>R01</t>
        </is>
      </c>
      <c r="C5" s="35" t="inlineStr">
        <is>
          <t>US-R01b</t>
        </is>
      </c>
      <c r="D5" s="36" t="inlineStr">
        <is>
          <t>En tant que dev, je veux ajouter un rate limiting sur les endpoints d'authentification (5 tentatives/min) afin de bloquer les attaques brute-force</t>
        </is>
      </c>
      <c r="E5" s="37" t="n">
        <v>2</v>
      </c>
      <c r="F5" s="38" t="inlineStr">
        <is>
          <t>S2</t>
        </is>
      </c>
      <c r="G5" s="21" t="inlineStr">
        <is>
          <t>Score 12 — Sans rate limiting, un attaquant peut tester des milliers de mots de passe</t>
        </is>
      </c>
    </row>
    <row r="6" ht="43.5" customHeight="1">
      <c r="B6" s="34" t="inlineStr">
        <is>
          <t>R01</t>
        </is>
      </c>
      <c r="C6" s="35" t="inlineStr">
        <is>
          <t>US-R01c</t>
        </is>
      </c>
      <c r="D6" s="36" t="inlineStr">
        <is>
          <t>En tant que dev, je veux valider et assainir toutes les entrées utilisateur (sanitize XSS, SQL injection) afin de prévenir les injections</t>
        </is>
      </c>
      <c r="E6" s="37" t="n">
        <v>3</v>
      </c>
      <c r="F6" s="38" t="inlineStr">
        <is>
          <t>S3</t>
        </is>
      </c>
      <c r="G6" s="21" t="inlineStr">
        <is>
          <t>Score 12 — Les injections SQL/XSS sont le Top 1 des failles OWASP</t>
        </is>
      </c>
    </row>
    <row r="7" ht="43.5" customHeight="1">
      <c r="B7" s="39" t="inlineStr">
        <is>
          <t>R02</t>
        </is>
      </c>
      <c r="C7" s="35" t="inlineStr">
        <is>
          <t>US-R02a</t>
        </is>
      </c>
      <c r="D7" s="36" t="inlineStr">
        <is>
          <t>En tant que dev, je veux mettre en place un cache Redis pour les requêtes fréquentes (liste ateliers, profils) afin de réduire la charge PostgreSQL</t>
        </is>
      </c>
      <c r="E7" s="37" t="n">
        <v>5</v>
      </c>
      <c r="F7" s="38" t="inlineStr">
        <is>
          <t>S4</t>
        </is>
      </c>
      <c r="G7" s="21" t="inlineStr">
        <is>
          <t>Score 9 — Les requêtes GET ateliers représentent 80% du trafic</t>
        </is>
      </c>
    </row>
    <row r="8" ht="43.5" customHeight="1">
      <c r="B8" s="39" t="inlineStr">
        <is>
          <t>R02</t>
        </is>
      </c>
      <c r="C8" s="35" t="inlineStr">
        <is>
          <t>US-R02b</t>
        </is>
      </c>
      <c r="D8" s="36" t="inlineStr">
        <is>
          <t>En tant que dev, je veux exécuter des tests de charge (k6) simulant 500 utilisateurs simultanés afin de vérifier la tenue de la plateforme</t>
        </is>
      </c>
      <c r="E8" s="37" t="n">
        <v>3</v>
      </c>
      <c r="F8" s="38" t="inlineStr">
        <is>
          <t>S4</t>
        </is>
      </c>
      <c r="G8" s="21" t="inlineStr">
        <is>
          <t>Score 9 — Valider avant la mise en production que la BDD tient la charge</t>
        </is>
      </c>
    </row>
    <row r="9" ht="43.5" customHeight="1">
      <c r="B9" s="39" t="inlineStr">
        <is>
          <t>R03</t>
        </is>
      </c>
      <c r="C9" s="35" t="inlineStr">
        <is>
          <t>US-R03a</t>
        </is>
      </c>
      <c r="D9" s="36" t="inlineStr">
        <is>
          <t>En tant que dev, je veux configurer des sauvegardes automatiques quotidiennes de PostgreSQL (pg_dump + S3) avec script de restauration testé</t>
        </is>
      </c>
      <c r="E9" s="37" t="n">
        <v>3</v>
      </c>
      <c r="F9" s="38" t="inlineStr">
        <is>
          <t>S3</t>
        </is>
      </c>
      <c r="G9" s="21" t="inlineStr">
        <is>
          <t>Score 8 — Sans backup, un crash = perte de toutes les données utilisateurs</t>
        </is>
      </c>
    </row>
    <row r="10" ht="43.5" customHeight="1">
      <c r="B10" s="40" t="inlineStr">
        <is>
          <t>R05</t>
        </is>
      </c>
      <c r="C10" s="35" t="inlineStr">
        <is>
          <t>US-R05a</t>
        </is>
      </c>
      <c r="D10" s="36" t="inlineStr">
        <is>
          <t>En tant que dev, je veux implémenter une file d'attente (queue) avec retry automatique pour les emails afin d'absorber les indisponibilités du service d'envoi</t>
        </is>
      </c>
      <c r="E10" s="37" t="n">
        <v>3</v>
      </c>
      <c r="F10" s="38" t="inlineStr">
        <is>
          <t>S3</t>
        </is>
      </c>
      <c r="G10" s="21" t="inlineStr">
        <is>
          <t>Score 6 — Si SendGrid tombe, les emails de confirmation sont perdus</t>
        </is>
      </c>
    </row>
    <row r="11" ht="43.5" customHeight="1">
      <c r="B11" s="40" t="inlineStr">
        <is>
          <t>R06</t>
        </is>
      </c>
      <c r="C11" s="35" t="inlineStr">
        <is>
          <t>US-R06a</t>
        </is>
      </c>
      <c r="D11" s="36" t="inlineStr">
        <is>
          <t>En tant que dev, je veux ajouter des tests cross-browser automatisés au pipeline CI (Playwright : Chrome, Firefox, Safari) afin de détecter les incompatibilités</t>
        </is>
      </c>
      <c r="E11" s="37" t="n">
        <v>2</v>
      </c>
      <c r="F11" s="38" t="inlineStr">
        <is>
          <t>S4</t>
        </is>
      </c>
      <c r="G11" s="21" t="inlineStr">
        <is>
          <t>Score 6 — 15% des utilisateurs de SkillHub utiliseront Safari ou Firefox</t>
        </is>
      </c>
    </row>
    <row r="12" ht="43.5" customHeight="1">
      <c r="B12" s="39" t="inlineStr">
        <is>
          <t>R07</t>
        </is>
      </c>
      <c r="C12" s="35" t="inlineStr">
        <is>
          <t>US-R07a</t>
        </is>
      </c>
      <c r="D12" s="36" t="inlineStr">
        <is>
          <t>En tant que Sophie, je veux pouvoir supprimer mon compte et toutes mes données afin d'exercer mon droit à l'oubli (RGPD Article 17)</t>
        </is>
      </c>
      <c r="E12" s="37" t="n">
        <v>3</v>
      </c>
      <c r="F12" s="38" t="inlineStr">
        <is>
          <t>S4</t>
        </is>
      </c>
      <c r="G12" s="21" t="inlineStr">
        <is>
          <t>Score 8 — Obligation légale RGPD, amende jusqu'à 4% du CA en cas de non-conformité</t>
        </is>
      </c>
    </row>
    <row r="13" ht="43.5" customHeight="1">
      <c r="B13" s="39" t="inlineStr">
        <is>
          <t>R07</t>
        </is>
      </c>
      <c r="C13" s="35" t="inlineStr">
        <is>
          <t>US-R07b</t>
        </is>
      </c>
      <c r="D13" s="36" t="inlineStr">
        <is>
          <t>En tant que visiteur, je veux voir un bandeau de consentement cookies avec la politique de confidentialité afin que SkillHub soit conforme au RGPD</t>
        </is>
      </c>
      <c r="E13" s="37" t="n">
        <v>2</v>
      </c>
      <c r="F13" s="38" t="inlineStr">
        <is>
          <t>S5</t>
        </is>
      </c>
      <c r="G13" s="21" t="inlineStr">
        <is>
          <t>Score 8 — Obligation légale, requis avant toute collecte de données</t>
        </is>
      </c>
    </row>
    <row r="14" ht="43.5" customHeight="1">
      <c r="B14" s="39" t="inlineStr">
        <is>
          <t>R10</t>
        </is>
      </c>
      <c r="C14" s="35" t="inlineStr">
        <is>
          <t>US-R10a</t>
        </is>
      </c>
      <c r="D14" s="36" t="inlineStr">
        <is>
          <t>En tant que dev, je veux intégrer un audit d'accessibilité automatisé (axe-core) dans le pipeline CI afin de détecter les violations WCAG critiques</t>
        </is>
      </c>
      <c r="E14" s="37" t="n">
        <v>2</v>
      </c>
      <c r="F14" s="38" t="inlineStr">
        <is>
          <t>S5</t>
        </is>
      </c>
      <c r="G14" s="21" t="inlineStr">
        <is>
          <t>Score 9 — Inclusivité : ne pas exclure les utilisateurs en situation de handicap</t>
        </is>
      </c>
    </row>
    <row r="15">
      <c r="B15" s="2" t="inlineStr">
        <is>
          <t>TOTAL — Stories d'atténuation ajoutées au backlog</t>
        </is>
      </c>
      <c r="E15" s="41">
        <f>SUM(E4:E14)</f>
        <v/>
      </c>
      <c r="F15" s="42" t="n"/>
      <c r="G15" s="42" t="n"/>
    </row>
    <row r="17" ht="16.15" customHeight="1">
      <c r="B17" s="11" t="inlineStr">
        <is>
          <t>📊 Résumé de l'impact</t>
        </is>
      </c>
    </row>
    <row r="18" ht="23.85" customHeight="1">
      <c r="B18" s="13" t="inlineStr">
        <is>
          <t>11 User Stories techniques générées par 7 risques (sur 10 identifiés). Total : ~27 SP ajoutés au backlog. Répartition : Sprint 2 (5 SP), Sprint 3 (9 SP), Sprint 4 (13 SP), Sprint 5 (4 SP). Impact sur le Burnup : la courbe Scope monte de 103 à ~130 SP.</t>
        </is>
      </c>
    </row>
    <row r="20">
      <c r="B20" s="5" t="inlineStr">
        <is>
          <t>⬇️  VOS STORIES D'ATTÉNUATION CI-DESSOUS  ⬇️</t>
        </is>
      </c>
    </row>
    <row r="21">
      <c r="B21" s="31" t="n"/>
      <c r="C21" s="31" t="n"/>
      <c r="D21" s="32" t="n"/>
      <c r="E21" s="31" t="n"/>
      <c r="F21" s="31" t="n"/>
      <c r="G21" s="32" t="n"/>
    </row>
    <row r="22">
      <c r="B22" s="31" t="n"/>
      <c r="C22" s="31" t="n"/>
      <c r="D22" s="32" t="n"/>
      <c r="E22" s="31" t="n"/>
      <c r="F22" s="31" t="n"/>
      <c r="G22" s="32" t="n"/>
    </row>
    <row r="23">
      <c r="B23" s="31" t="n"/>
      <c r="C23" s="31" t="n"/>
      <c r="D23" s="32" t="n"/>
      <c r="E23" s="31" t="n"/>
      <c r="F23" s="31" t="n"/>
      <c r="G23" s="32" t="n"/>
    </row>
    <row r="24">
      <c r="B24" s="31" t="n"/>
      <c r="C24" s="31" t="n"/>
      <c r="D24" s="32" t="n"/>
      <c r="E24" s="31" t="n"/>
      <c r="F24" s="31" t="n"/>
      <c r="G24" s="32" t="n"/>
    </row>
    <row r="25">
      <c r="B25" s="31" t="n"/>
      <c r="C25" s="31" t="n"/>
      <c r="D25" s="32" t="n"/>
      <c r="E25" s="31" t="n"/>
      <c r="F25" s="31" t="n"/>
      <c r="G25" s="32" t="n"/>
    </row>
    <row r="26">
      <c r="B26" s="31" t="n"/>
      <c r="C26" s="31" t="n"/>
      <c r="D26" s="32" t="n"/>
      <c r="E26" s="31" t="n"/>
      <c r="F26" s="31" t="n"/>
      <c r="G26" s="32" t="n"/>
    </row>
    <row r="27">
      <c r="B27" s="31" t="n"/>
      <c r="C27" s="31" t="n"/>
      <c r="D27" s="32" t="n"/>
      <c r="E27" s="31" t="n"/>
      <c r="F27" s="31" t="n"/>
      <c r="G27" s="32" t="n"/>
    </row>
    <row r="28">
      <c r="B28" s="31" t="n"/>
      <c r="C28" s="31" t="n"/>
      <c r="D28" s="32" t="n"/>
      <c r="E28" s="31" t="n"/>
      <c r="F28" s="31" t="n"/>
      <c r="G28" s="32" t="n"/>
    </row>
    <row r="29">
      <c r="B29" s="31" t="n"/>
      <c r="C29" s="31" t="n"/>
      <c r="D29" s="32" t="n"/>
      <c r="E29" s="31" t="n"/>
      <c r="F29" s="31" t="n"/>
      <c r="G29" s="32" t="n"/>
    </row>
    <row r="30">
      <c r="B30" s="31" t="n"/>
      <c r="C30" s="31" t="n"/>
      <c r="D30" s="32" t="n"/>
      <c r="E30" s="31" t="n"/>
      <c r="F30" s="31" t="n"/>
      <c r="G30" s="32" t="n"/>
    </row>
    <row r="33">
      <c r="B33" s="10" t="inlineStr">
        <is>
          <t>Template créé par Mohamed EL AFRIT — www.mohamedelafrit.com — Cours Agile CDWFS 2026</t>
        </is>
      </c>
    </row>
  </sheetData>
  <mergeCells count="5">
    <mergeCell ref="B2:G2"/>
    <mergeCell ref="B20:G20"/>
    <mergeCell ref="B1:G1"/>
    <mergeCell ref="B18:G18"/>
    <mergeCell ref="B15:D15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2026-04-13T07:09:33Z</dcterms:created>
  <dcterms:modified xmlns:dcterms="http://purl.org/dc/terms/" xmlns:xsi="http://www.w3.org/2001/XMLSchema-instance" xsi:type="dcterms:W3CDTF">2026-07-02T09:24:13Z</dcterms:modified>
  <cp:lastModifiedBy>Nicolas CATALUNA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0x01010047E35FF551331140B273BB19EEA78143</vt:lpwstr>
  </property>
</Properties>
</file>