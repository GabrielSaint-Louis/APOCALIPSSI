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Mode d'emploi"/>
    <sheet r:id="rId2" sheetId="2" name="Burndown (sprint)"/>
    <sheet r:id="rId3" sheetId="3" name="Burnup (projet)"/>
  </sheets>
  <calcPr fullCalcOnLoad="1"/>
</workbook>
</file>

<file path=xl/sharedStrings.xml><?xml version="1.0" encoding="utf-8"?>
<sst xmlns="http://schemas.openxmlformats.org/spreadsheetml/2006/main" count="56" uniqueCount="56">
  <si>
    <t>Burnup de projet</t>
  </si>
  <si>
    <t>Périmètre total vs réalisé cumulé, sprint par sprint.</t>
  </si>
  <si>
    <t>Sprint</t>
  </si>
  <si>
    <t>Périmètre total</t>
  </si>
  <si>
    <t>Réalisé (cumulé)</t>
  </si>
  <si>
    <t>Événement (perturbation, ajout de périmètre…)</t>
  </si>
  <si>
    <t>S0</t>
  </si>
  <si>
    <t>Backlog initial</t>
  </si>
  <si>
    <t>S1</t>
  </si>
  <si>
    <t>S2</t>
  </si>
  <si>
    <t>+3 US enseignant</t>
  </si>
  <si>
    <t>S3</t>
  </si>
  <si>
    <t>+5 sécurité/RGPD</t>
  </si>
  <si>
    <t>S4</t>
  </si>
  <si>
    <t>+26 a11y+i18n+scalabilité</t>
  </si>
  <si>
    <t>S5</t>
  </si>
  <si>
    <t>Next</t>
  </si>
  <si>
    <t>S6</t>
  </si>
  <si>
    <t>en cours</t>
  </si>
  <si>
    <t>Indicateurs de pilotage</t>
  </si>
  <si>
    <t>Sprints réalisés</t>
  </si>
  <si>
    <t>Vélocité moyenne (pts/sprint)</t>
  </si>
  <si>
    <t>Périmètre total actuel</t>
  </si>
  <si>
    <t>Réalisé actuel</t>
  </si>
  <si>
    <t>Reste à réaliser</t>
  </si>
  <si>
    <t>Sprints restants (estimation)</t>
  </si>
  <si>
    <t>Astuce : les indicateurs pointent sur la dernière ligne (S6). Si vous ajoutez des sprints, insérez les lignes AU-DESSUS de la dernière pour que les plages suivent.</t>
  </si>
  <si>
    <t>Burndown de sprint</t>
  </si>
  <si>
    <t>Reste à faire jour par jour. Objectif : atteindre 0 en fin de sprint.</t>
  </si>
  <si>
    <t>Paramètres</t>
  </si>
  <si>
    <t>Total de points engagés</t>
  </si>
  <si>
    <t>Durée du sprint (jours)</t>
  </si>
  <si>
    <t>Jour</t>
  </si>
  <si>
    <t>Idéal</t>
  </si>
  <si>
    <t>Réel (reste à faire)</t>
  </si>
  <si>
    <t>Indicateurs</t>
  </si>
  <si>
    <t>Reste à faire (dernier jour)</t>
  </si>
  <si>
    <t>Points terminés</t>
  </si>
  <si>
    <t>Idéal au dernier jour</t>
  </si>
  <si>
    <t>% terminé</t>
  </si>
  <si>
    <t>Modèle : Burndown de sprint &amp; Burnup de projet</t>
  </si>
  <si>
    <t>APOCAL'IPSSI 2026 · Outil de pilotage (perturbation J4)</t>
  </si>
  <si>
    <t>À quoi ça sert</t>
  </si>
  <si>
    <t>Le BURNDOWN suit le reste à faire d'un sprint : la courbe doit descendre vers 0.</t>
  </si>
  <si>
    <t>Le BURNUP suit le réalisé cumulé du projet face au périmètre total (qui peut monter quand une perturbation ajoute du travail).</t>
  </si>
  <si>
    <t>Comment l'utiliser</t>
  </si>
  <si>
    <t>1. Onglet « Burndown (sprint) » : renseignez le total de points et la durée du sprint. La colonne « Idéal » se calcule toute seule. Chaque soir, saisissez le reste à faire dans la colonne « Réel ».</t>
  </si>
  <si>
    <t>2. Onglet « Burnup (projet) » : à chaque fin de sprint, notez le périmètre total et le réalisé cumulé, et l'événement (perturbation) qui fait éventuellement monter le périmètre.</t>
  </si>
  <si>
    <t>3. Les graphiques et les indicateurs se recalculent automatiquement.</t>
  </si>
  <si>
    <t>4. Les cellules JAUNES sont à remplir. Les chiffres pré-remplis sont l'exemple SkillHub (le même que sur la page J4) : remplacez-les par les vôtres.</t>
  </si>
  <si>
    <t>Comment lire les courbes</t>
  </si>
  <si>
    <t>Burndown : si la courbe RÉELLE passe AU-DESSUS de la ligne idéale, le sprint est en retard (il reste plus de travail que prévu). On réagit tôt (entraide, replanification).</t>
  </si>
  <si>
    <t>Burnup : quand le périmètre monte d'un cran (perturbation), l'écart avec le réalisé se creuse et la date de fin recule. C'est chiffré, pas ressenti.</t>
  </si>
  <si>
    <t>Indicateurs de pilotage (calculés automatiquement)</t>
  </si>
  <si>
    <t>Vélocité moyenne (points par sprint), reste à faire, et estimation des sprints restants = reste ÷ vélocité. À montrer au jury pour prouver que vous pilotez.</t>
  </si>
  <si>
    <t>Auteurs : Mohamed Amine EL AFRIT &amp; Sayf BEJAOUI · Licence CC BY-NC-SA 4.0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</si>
</sst>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9" x14ac:knownFonts="1">
    <font>
      <sz val="11"/>
      <color theme="1"/>
      <name val="Calibri"/>
      <family val="2"/>
      <scheme val="minor"/>
    </font>
    <font>
      <sz val="16"/>
      <color rgb="FF1e1b4b"/>
      <name val="Calibri"/>
      <family val="2"/>
    </font>
    <font>
      <sz val="11"/>
      <color rgb="FF64748b"/>
      <name val="Calibri"/>
      <family val="2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4f46e5"/>
      <name val="Calibri"/>
      <family val="2"/>
    </font>
    <font>
      <sz val="9"/>
      <color rgb="FF94a3b8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ef9c3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8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wrapText="1"/>
    </xf>
    <xf xfId="0" numFmtId="0" borderId="2" applyBorder="1" fontId="3" applyFont="1" fillId="2" applyFill="1" applyAlignment="1">
      <alignment horizontal="center" wrapText="1"/>
    </xf>
    <xf xfId="0" numFmtId="3" applyNumberFormat="1" borderId="2" applyBorder="1" fontId="3" applyFont="1" fillId="2" applyFill="1" applyAlignment="1">
      <alignment horizontal="center" wrapText="1"/>
    </xf>
    <xf xfId="0" numFmtId="0" borderId="2" applyBorder="1" fontId="4" applyFont="1" fillId="0" applyAlignment="1">
      <alignment horizontal="left"/>
    </xf>
    <xf xfId="0" numFmtId="3" applyNumberFormat="1" borderId="2" applyBorder="1" fontId="5" applyFont="1" fillId="3" applyFill="1" applyAlignment="1">
      <alignment horizontal="center"/>
    </xf>
    <xf xfId="0" numFmtId="0" borderId="2" applyBorder="1" fontId="4" applyFont="1" fillId="0" applyAlignment="1">
      <alignment horizontal="left" wrapText="1"/>
    </xf>
    <xf xfId="0" numFmtId="0" borderId="1" applyBorder="1" fontId="6" applyFont="1" fillId="0" applyAlignment="1">
      <alignment horizontal="left"/>
    </xf>
    <xf xfId="0" numFmtId="0" borderId="1" applyBorder="1" fontId="5" applyFont="1" fillId="0" applyAlignment="1">
      <alignment horizontal="left"/>
    </xf>
    <xf xfId="0" numFmtId="3" applyNumberFormat="1" borderId="2" applyBorder="1" fontId="4" applyFont="1" fillId="0" applyAlignment="1">
      <alignment horizontal="left"/>
    </xf>
    <xf xfId="0" numFmtId="0" borderId="1" applyBorder="1" fontId="7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3" applyNumberFormat="1" borderId="1" applyBorder="1" fontId="6" applyFont="1" fillId="0" applyAlignment="1">
      <alignment horizontal="left"/>
    </xf>
    <xf xfId="0" numFmtId="3" applyNumberFormat="1" borderId="2" applyBorder="1" fontId="5" applyFont="1" fillId="3" applyFill="1" applyAlignment="1">
      <alignment horizontal="right"/>
    </xf>
    <xf xfId="0" numFmtId="3" applyNumberFormat="1" borderId="2" applyBorder="1" fontId="4" applyFont="1" fillId="0" applyAlignment="1">
      <alignment horizontal="right"/>
    </xf>
    <xf xfId="0" numFmtId="3" applyNumberFormat="1" borderId="2" applyBorder="1" fontId="2" applyFont="1" fillId="0" applyAlignment="1">
      <alignment horizontal="left"/>
    </xf>
    <xf xfId="0" numFmtId="3" applyNumberFormat="1" borderId="1" applyBorder="1" fontId="5" applyFont="1" fillId="0" applyAlignment="1">
      <alignment horizontal="left"/>
    </xf>
    <xf xfId="0" numFmtId="164" applyNumberFormat="1" borderId="2" applyBorder="1" fontId="4" applyFont="1" fillId="0" applyAlignment="1">
      <alignment horizontal="right"/>
    </xf>
    <xf xfId="0" numFmtId="0" borderId="1" applyBorder="1" fontId="8" applyFont="1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2"/>
  <sheetViews>
    <sheetView workbookViewId="0"/>
  </sheetViews>
  <sheetFormatPr defaultRowHeight="15" x14ac:dyDescent="0.25"/>
  <cols>
    <col min="1" max="1" style="16" width="4.005" customWidth="1" bestFit="1"/>
    <col min="2" max="2" style="16" width="110.005" customWidth="1" bestFit="1"/>
  </cols>
  <sheetData>
    <row x14ac:dyDescent="0.25" r="1" customHeight="1" ht="17.25">
      <c r="A1" s="5"/>
      <c r="B1" s="5"/>
    </row>
    <row x14ac:dyDescent="0.25" r="2" customHeight="1" ht="24.75">
      <c r="A2" s="5"/>
      <c r="B2" s="1" t="s">
        <v>40</v>
      </c>
    </row>
    <row x14ac:dyDescent="0.25" r="3" customHeight="1" ht="19.5">
      <c r="A3" s="5"/>
      <c r="B3" s="4" t="s">
        <v>41</v>
      </c>
    </row>
    <row x14ac:dyDescent="0.25" r="4" customHeight="1" ht="17.25">
      <c r="A4" s="5"/>
      <c r="B4" s="5"/>
    </row>
    <row x14ac:dyDescent="0.25" r="5" customHeight="1" ht="20.25">
      <c r="A5" s="5"/>
      <c r="B5" s="12" t="s">
        <v>42</v>
      </c>
    </row>
    <row x14ac:dyDescent="0.25" r="6" customHeight="1" ht="18" customFormat="1" s="6">
      <c r="A6" s="3"/>
      <c r="B6" s="27" t="s">
        <v>43</v>
      </c>
    </row>
    <row x14ac:dyDescent="0.25" r="7" customHeight="1" ht="18" customFormat="1" s="6">
      <c r="A7" s="3"/>
      <c r="B7" s="27" t="s">
        <v>44</v>
      </c>
    </row>
    <row x14ac:dyDescent="0.25" r="8" customHeight="1" ht="17.25">
      <c r="A8" s="5"/>
      <c r="B8" s="5"/>
    </row>
    <row x14ac:dyDescent="0.25" r="9" customHeight="1" ht="20.25">
      <c r="A9" s="5"/>
      <c r="B9" s="12" t="s">
        <v>45</v>
      </c>
    </row>
    <row x14ac:dyDescent="0.25" r="10" customHeight="1" ht="30" customFormat="1" s="6">
      <c r="A10" s="3"/>
      <c r="B10" s="27" t="s">
        <v>46</v>
      </c>
    </row>
    <row x14ac:dyDescent="0.25" r="11" customHeight="1" ht="30" customFormat="1" s="6">
      <c r="A11" s="3"/>
      <c r="B11" s="27" t="s">
        <v>47</v>
      </c>
    </row>
    <row x14ac:dyDescent="0.25" r="12" customHeight="1" ht="18" customFormat="1" s="6">
      <c r="A12" s="3"/>
      <c r="B12" s="27" t="s">
        <v>48</v>
      </c>
    </row>
    <row x14ac:dyDescent="0.25" r="13" customHeight="1" ht="30" customFormat="1" s="6">
      <c r="A13" s="3"/>
      <c r="B13" s="27" t="s">
        <v>49</v>
      </c>
    </row>
    <row x14ac:dyDescent="0.25" r="14" customHeight="1" ht="17.25">
      <c r="A14" s="5"/>
      <c r="B14" s="5"/>
    </row>
    <row x14ac:dyDescent="0.25" r="15" customHeight="1" ht="20.25">
      <c r="A15" s="5"/>
      <c r="B15" s="12" t="s">
        <v>50</v>
      </c>
    </row>
    <row x14ac:dyDescent="0.25" r="16" customHeight="1" ht="30" customFormat="1" s="6">
      <c r="A16" s="3"/>
      <c r="B16" s="27" t="s">
        <v>51</v>
      </c>
    </row>
    <row x14ac:dyDescent="0.25" r="17" customHeight="1" ht="30" customFormat="1" s="6">
      <c r="A17" s="3"/>
      <c r="B17" s="27" t="s">
        <v>52</v>
      </c>
    </row>
    <row x14ac:dyDescent="0.25" r="18" customHeight="1" ht="17.25">
      <c r="A18" s="5"/>
      <c r="B18" s="5"/>
    </row>
    <row x14ac:dyDescent="0.25" r="19" customHeight="1" ht="20.25">
      <c r="A19" s="5"/>
      <c r="B19" s="12" t="s">
        <v>53</v>
      </c>
    </row>
    <row x14ac:dyDescent="0.25" r="20" customHeight="1" ht="30" customFormat="1" s="6">
      <c r="A20" s="3"/>
      <c r="B20" s="27" t="s">
        <v>54</v>
      </c>
    </row>
    <row x14ac:dyDescent="0.25" r="21" customHeight="1" ht="17.25">
      <c r="A21" s="5"/>
      <c r="B21" s="5"/>
    </row>
    <row x14ac:dyDescent="0.25" r="22" customHeight="1" ht="17.25">
      <c r="A22" s="5"/>
      <c r="B22" s="15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5"/>
  <sheetViews>
    <sheetView workbookViewId="0">
      <pane state="frozen" activePane="bottomLeft" topLeftCell="A9" ySplit="8" xSplit="0"/>
    </sheetView>
  </sheetViews>
  <sheetFormatPr defaultRowHeight="15" x14ac:dyDescent="0.25"/>
  <cols>
    <col min="1" max="1" style="17" width="8.005" customWidth="1" bestFit="1"/>
    <col min="2" max="2" style="17" width="10.005" customWidth="1" bestFit="1"/>
    <col min="3" max="3" style="17" width="22.005" customWidth="1" bestFit="1"/>
  </cols>
  <sheetData>
    <row x14ac:dyDescent="0.25" r="1" customHeight="1" ht="17.25">
      <c r="A1" s="19" t="s">
        <v>27</v>
      </c>
      <c r="B1" s="2"/>
      <c r="C1" s="2"/>
    </row>
    <row x14ac:dyDescent="0.25" r="2" customHeight="1" ht="17.25">
      <c r="A2" s="20" t="s">
        <v>28</v>
      </c>
      <c r="B2" s="2"/>
      <c r="C2" s="2"/>
    </row>
    <row x14ac:dyDescent="0.25" r="3" customHeight="1" ht="17.25">
      <c r="A3" s="2"/>
      <c r="B3" s="2"/>
      <c r="C3" s="2"/>
    </row>
    <row x14ac:dyDescent="0.25" r="4" customHeight="1" ht="17.25">
      <c r="A4" s="21" t="s">
        <v>29</v>
      </c>
      <c r="B4" s="2"/>
      <c r="C4" s="2"/>
    </row>
    <row x14ac:dyDescent="0.25" r="5" customHeight="1" ht="17.25">
      <c r="A5" s="2" t="s">
        <v>30</v>
      </c>
      <c r="B5" s="22">
        <v>56</v>
      </c>
      <c r="C5" s="2"/>
    </row>
    <row x14ac:dyDescent="0.25" r="6" customHeight="1" ht="17.25">
      <c r="A6" s="2" t="s">
        <v>31</v>
      </c>
      <c r="B6" s="22">
        <v>10</v>
      </c>
      <c r="C6" s="2"/>
    </row>
    <row x14ac:dyDescent="0.25" r="7" customHeight="1" ht="17.25">
      <c r="A7" s="2"/>
      <c r="B7" s="2"/>
      <c r="C7" s="2"/>
    </row>
    <row x14ac:dyDescent="0.25" r="8" customHeight="1" ht="17.25" customFormat="1" s="6">
      <c r="A8" s="8" t="s">
        <v>32</v>
      </c>
      <c r="B8" s="8" t="s">
        <v>33</v>
      </c>
      <c r="C8" s="8" t="s">
        <v>34</v>
      </c>
    </row>
    <row x14ac:dyDescent="0.25" r="9" customHeight="1" ht="17.25">
      <c r="A9" s="23">
        <v>0</v>
      </c>
      <c r="B9" s="24">
        <f>ROUND($B$5*($B$6-A9)/$B$6,1)</f>
      </c>
      <c r="C9" s="10">
        <v>56</v>
      </c>
    </row>
    <row x14ac:dyDescent="0.25" r="10" customHeight="1" ht="17.25">
      <c r="A10" s="23">
        <v>1</v>
      </c>
      <c r="B10" s="24">
        <f>ROUND($B$5*($B$6-A10)/$B$6,1)</f>
      </c>
      <c r="C10" s="10">
        <v>50</v>
      </c>
    </row>
    <row x14ac:dyDescent="0.25" r="11" customHeight="1" ht="17.25">
      <c r="A11" s="23">
        <v>2</v>
      </c>
      <c r="B11" s="24">
        <f>ROUND($B$5*($B$6-A11)/$B$6,1)</f>
      </c>
      <c r="C11" s="10">
        <v>44</v>
      </c>
    </row>
    <row x14ac:dyDescent="0.25" r="12" customHeight="1" ht="17.25">
      <c r="A12" s="23">
        <v>3</v>
      </c>
      <c r="B12" s="24">
        <f>ROUND($B$5*($B$6-A12)/$B$6,1)</f>
      </c>
      <c r="C12" s="10">
        <v>38</v>
      </c>
    </row>
    <row x14ac:dyDescent="0.25" r="13" customHeight="1" ht="17.25">
      <c r="A13" s="23">
        <v>4</v>
      </c>
      <c r="B13" s="24">
        <f>ROUND($B$5*($B$6-A13)/$B$6,1)</f>
      </c>
      <c r="C13" s="10">
        <v>30</v>
      </c>
    </row>
    <row x14ac:dyDescent="0.25" r="14" customHeight="1" ht="17.25">
      <c r="A14" s="23">
        <v>5</v>
      </c>
      <c r="B14" s="24">
        <f>ROUND($B$5*($B$6-A14)/$B$6,1)</f>
      </c>
      <c r="C14" s="10">
        <v>22</v>
      </c>
    </row>
    <row x14ac:dyDescent="0.25" r="15" customHeight="1" ht="17.25">
      <c r="A15" s="23">
        <v>6</v>
      </c>
      <c r="B15" s="24">
        <f>ROUND($B$5*($B$6-A15)/$B$6,1)</f>
      </c>
      <c r="C15" s="10">
        <v>15</v>
      </c>
    </row>
    <row x14ac:dyDescent="0.25" r="16" customHeight="1" ht="17.25">
      <c r="A16" s="23">
        <v>7</v>
      </c>
      <c r="B16" s="24">
        <f>ROUND($B$5*($B$6-A16)/$B$6,1)</f>
      </c>
      <c r="C16" s="10">
        <v>8</v>
      </c>
    </row>
    <row x14ac:dyDescent="0.25" r="17" customHeight="1" ht="17.25">
      <c r="A17" s="23">
        <v>8</v>
      </c>
      <c r="B17" s="24">
        <f>ROUND($B$5*($B$6-A17)/$B$6,1)</f>
      </c>
      <c r="C17" s="10">
        <v>0</v>
      </c>
    </row>
    <row x14ac:dyDescent="0.25" r="18" customHeight="1" ht="17.25">
      <c r="A18" s="23">
        <v>9</v>
      </c>
      <c r="B18" s="24">
        <f>ROUND($B$5*($B$6-A18)/$B$6,1)</f>
      </c>
      <c r="C18" s="10">
        <v>6</v>
      </c>
    </row>
    <row x14ac:dyDescent="0.25" r="19" customHeight="1" ht="17.25">
      <c r="A19" s="23">
        <v>10</v>
      </c>
      <c r="B19" s="24">
        <f>ROUND($B$5*($B$6-A19)/$B$6,1)</f>
      </c>
      <c r="C19" s="10">
        <v>2</v>
      </c>
    </row>
    <row x14ac:dyDescent="0.25" r="20" customHeight="1" ht="17.25">
      <c r="A20" s="2"/>
      <c r="B20" s="2"/>
      <c r="C20" s="2"/>
    </row>
    <row x14ac:dyDescent="0.25" r="21" customHeight="1" ht="17.25">
      <c r="A21" s="21" t="s">
        <v>35</v>
      </c>
      <c r="B21" s="2"/>
      <c r="C21" s="2"/>
    </row>
    <row x14ac:dyDescent="0.25" r="22" customHeight="1" ht="17.25">
      <c r="A22" s="25" t="s">
        <v>36</v>
      </c>
      <c r="B22" s="14">
        <f>C19</f>
      </c>
      <c r="C22" s="2"/>
    </row>
    <row x14ac:dyDescent="0.25" r="23" customHeight="1" ht="17.25">
      <c r="A23" s="25" t="s">
        <v>37</v>
      </c>
      <c r="B23" s="14">
        <f>B5-C19</f>
      </c>
      <c r="C23" s="2"/>
    </row>
    <row x14ac:dyDescent="0.25" r="24" customHeight="1" ht="17.25">
      <c r="A24" s="25" t="s">
        <v>38</v>
      </c>
      <c r="B24" s="14">
        <f>B19</f>
      </c>
      <c r="C24" s="2"/>
    </row>
    <row x14ac:dyDescent="0.25" r="25" customHeight="1" ht="17.25">
      <c r="A25" s="25" t="s">
        <v>39</v>
      </c>
      <c r="B25" s="26">
        <f>(B5-C19)/B5</f>
      </c>
      <c r="C2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1"/>
  <sheetViews>
    <sheetView workbookViewId="0" tabSelected="1">
      <pane state="frozen" activePane="bottomLeft" topLeftCell="A5" ySplit="4" xSplit="0"/>
    </sheetView>
  </sheetViews>
  <sheetFormatPr defaultRowHeight="15" x14ac:dyDescent="0.25"/>
  <cols>
    <col min="1" max="1" style="16" width="9.005" customWidth="1" bestFit="1"/>
    <col min="2" max="2" style="17" width="15.005" customWidth="1" bestFit="1"/>
    <col min="3" max="3" style="17" width="16.005" customWidth="1" bestFit="1"/>
    <col min="4" max="4" style="18" width="46.005" customWidth="1" bestFit="1"/>
  </cols>
  <sheetData>
    <row x14ac:dyDescent="0.25" r="1" customHeight="1" ht="17.25">
      <c r="A1" s="1" t="s">
        <v>0</v>
      </c>
      <c r="B1" s="2"/>
      <c r="C1" s="2"/>
      <c r="D1" s="3"/>
    </row>
    <row x14ac:dyDescent="0.25" r="2" customHeight="1" ht="17.25">
      <c r="A2" s="4" t="s">
        <v>1</v>
      </c>
      <c r="B2" s="2"/>
      <c r="C2" s="2"/>
      <c r="D2" s="3"/>
    </row>
    <row x14ac:dyDescent="0.25" r="3" customHeight="1" ht="17.25">
      <c r="A3" s="5"/>
      <c r="B3" s="2"/>
      <c r="C3" s="2"/>
      <c r="D3" s="3"/>
    </row>
    <row x14ac:dyDescent="0.25" r="4" customHeight="1" ht="17.25" customFormat="1" s="6">
      <c r="A4" s="7" t="s">
        <v>2</v>
      </c>
      <c r="B4" s="8" t="s">
        <v>3</v>
      </c>
      <c r="C4" s="8" t="s">
        <v>4</v>
      </c>
      <c r="D4" s="7" t="s">
        <v>5</v>
      </c>
    </row>
    <row x14ac:dyDescent="0.25" r="5" customHeight="1" ht="17.25">
      <c r="A5" s="9" t="s">
        <v>6</v>
      </c>
      <c r="B5" s="10">
        <v>137</v>
      </c>
      <c r="C5" s="10">
        <v>0</v>
      </c>
      <c r="D5" s="11" t="s">
        <v>7</v>
      </c>
    </row>
    <row x14ac:dyDescent="0.25" r="6" customHeight="1" ht="17.25">
      <c r="A6" s="9" t="s">
        <v>8</v>
      </c>
      <c r="B6" s="10">
        <v>137</v>
      </c>
      <c r="C6" s="10">
        <v>14</v>
      </c>
      <c r="D6" s="11"/>
    </row>
    <row x14ac:dyDescent="0.25" r="7" customHeight="1" ht="17.25">
      <c r="A7" s="9" t="s">
        <v>9</v>
      </c>
      <c r="B7" s="10">
        <v>140</v>
      </c>
      <c r="C7" s="10">
        <v>28</v>
      </c>
      <c r="D7" s="11" t="s">
        <v>10</v>
      </c>
    </row>
    <row x14ac:dyDescent="0.25" r="8" customHeight="1" ht="17.25">
      <c r="A8" s="9" t="s">
        <v>11</v>
      </c>
      <c r="B8" s="10">
        <v>145</v>
      </c>
      <c r="C8" s="10">
        <v>42</v>
      </c>
      <c r="D8" s="11" t="s">
        <v>12</v>
      </c>
    </row>
    <row x14ac:dyDescent="0.25" r="9" customHeight="1" ht="17.25">
      <c r="A9" s="9" t="s">
        <v>13</v>
      </c>
      <c r="B9" s="10">
        <v>171</v>
      </c>
      <c r="C9" s="10">
        <v>56</v>
      </c>
      <c r="D9" s="11" t="s">
        <v>14</v>
      </c>
    </row>
    <row x14ac:dyDescent="0.25" r="10" customHeight="1" ht="17.25">
      <c r="A10" s="9" t="s">
        <v>15</v>
      </c>
      <c r="B10" s="10">
        <v>171</v>
      </c>
      <c r="C10" s="10">
        <v>56</v>
      </c>
      <c r="D10" s="11" t="s">
        <v>16</v>
      </c>
    </row>
    <row x14ac:dyDescent="0.25" r="11" customHeight="1" ht="17.25">
      <c r="A11" s="9" t="s">
        <v>17</v>
      </c>
      <c r="B11" s="10">
        <v>150</v>
      </c>
      <c r="C11" s="10">
        <v>118</v>
      </c>
      <c r="D11" s="11" t="s">
        <v>18</v>
      </c>
    </row>
    <row x14ac:dyDescent="0.25" r="12" customHeight="1" ht="17.25">
      <c r="A12" s="5"/>
      <c r="B12" s="2"/>
      <c r="C12" s="2"/>
      <c r="D12" s="3"/>
    </row>
    <row x14ac:dyDescent="0.25" r="13" customHeight="1" ht="17.25">
      <c r="A13" s="12" t="s">
        <v>19</v>
      </c>
      <c r="B13" s="2"/>
      <c r="C13" s="2"/>
      <c r="D13" s="3"/>
    </row>
    <row x14ac:dyDescent="0.25" r="14" customHeight="1" ht="17.25">
      <c r="A14" s="13" t="s">
        <v>20</v>
      </c>
      <c r="B14" s="14">
        <f>COUNTA(A5:A11)-1</f>
      </c>
      <c r="C14" s="2"/>
      <c r="D14" s="3"/>
    </row>
    <row x14ac:dyDescent="0.25" r="15" customHeight="1" ht="17.25">
      <c r="A15" s="13" t="s">
        <v>21</v>
      </c>
      <c r="B15" s="14">
        <f>ROUND(C11/(COUNTA(A5:A11)-1),1)</f>
      </c>
      <c r="C15" s="2"/>
      <c r="D15" s="3"/>
    </row>
    <row x14ac:dyDescent="0.25" r="16" customHeight="1" ht="17.25">
      <c r="A16" s="13" t="s">
        <v>22</v>
      </c>
      <c r="B16" s="14">
        <f>B11</f>
      </c>
      <c r="C16" s="2"/>
      <c r="D16" s="3"/>
    </row>
    <row x14ac:dyDescent="0.25" r="17" customHeight="1" ht="17.25">
      <c r="A17" s="13" t="s">
        <v>23</v>
      </c>
      <c r="B17" s="14">
        <f>C11</f>
      </c>
      <c r="C17" s="2"/>
      <c r="D17" s="3"/>
    </row>
    <row x14ac:dyDescent="0.25" r="18" customHeight="1" ht="17.25">
      <c r="A18" s="13" t="s">
        <v>24</v>
      </c>
      <c r="B18" s="14">
        <f>B11-C11</f>
      </c>
      <c r="C18" s="2"/>
      <c r="D18" s="3"/>
    </row>
    <row x14ac:dyDescent="0.25" r="19" customHeight="1" ht="17.25">
      <c r="A19" s="13" t="s">
        <v>25</v>
      </c>
      <c r="B19" s="14">
        <f>ROUND((B11-C11)/(C11/(COUNTA(A5:A11)-1)),1)</f>
      </c>
      <c r="C19" s="2"/>
      <c r="D19" s="3"/>
    </row>
    <row x14ac:dyDescent="0.25" r="20" customHeight="1" ht="17.25">
      <c r="A20" s="5"/>
      <c r="B20" s="2"/>
      <c r="C20" s="2"/>
      <c r="D20" s="3"/>
    </row>
    <row x14ac:dyDescent="0.25" r="21" customHeight="1" ht="17.25">
      <c r="A21" s="15" t="s">
        <v>26</v>
      </c>
      <c r="B21" s="2"/>
      <c r="C21" s="2"/>
      <c r="D21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Mode d'emploi</vt:lpstr>
      <vt:lpstr>Burndown (sprint)</vt:lpstr>
      <vt:lpstr>Burnup (projet)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2026-07-02T09:34:37.650Z</dcterms:created>
  <dcterms:modified xsi:type="dcterms:W3CDTF">2026-07-02T09:34:37.650Z</dcterms:modified>
</cp:coreProperties>
</file>