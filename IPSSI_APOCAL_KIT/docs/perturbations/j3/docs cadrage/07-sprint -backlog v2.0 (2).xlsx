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Sprint 2" sheetId="4" r:id="rId7"/>
    <sheet state="visible" name="Sprint 3" sheetId="5" r:id="rId8"/>
    <sheet state="visible" name="Burndown Sprint 1" sheetId="6" r:id="rId9"/>
    <sheet state="visible" name="Auto-évaluation" sheetId="7" r:id="rId10"/>
  </sheets>
  <definedNames/>
  <calcPr/>
  <extLst>
    <ext uri="GoogleSheetsCustomDataVersion2">
      <go:sheetsCustomData xmlns:go="http://customooxmlschemas.google.com/" r:id="rId11" roundtripDataChecksum="J0TGNVYru7EjshoTgHz+tu6dVki0UBDSWyw4ERvlGpg="/>
    </ext>
  </extLst>
</workbook>
</file>

<file path=xl/sharedStrings.xml><?xml version="1.0" encoding="utf-8"?>
<sst xmlns="http://schemas.openxmlformats.org/spreadsheetml/2006/main" count="347" uniqueCount="191">
  <si>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</si>
  <si>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</si>
  <si>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</si>
  <si>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</si>
  <si>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</si>
  <si>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</si>
  <si>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</si>
  <si>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</si>
  <si>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</si>
  <si>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</si>
  <si>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</si>
  <si>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</si>
  <si>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</si>
  <si>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</si>
  <si>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</si>
  <si>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v1,1</t>
  </si>
  <si>
    <t>Date de remise</t>
  </si>
  <si>
    <t>01/07/2026 avant 13h00</t>
  </si>
  <si>
    <t>Statut</t>
  </si>
  <si>
    <t xml:space="preserve">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</si>
  <si>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</si>
  <si>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</si>
  <si>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</si>
  <si>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</si>
  <si>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</si>
  <si>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</si>
  <si>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</si>
  <si>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</si>
  <si>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</si>
  <si>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</si>
  <si>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</si>
  <si>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</si>
  <si>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</si>
  <si>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</si>
  <si>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</si>
  <si>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</si>
  <si>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</si>
  <si>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</si>
  <si>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</si>
  <si>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</si>
  <si>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</si>
  <si>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</si>
  <si>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</si>
  <si>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</si>
  <si>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</si>
  <si>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</si>
  <si>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</si>
  <si>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</si>
  <si>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</si>
  <si>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</si>
  <si>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</si>
  <si>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</si>
  <si>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</si>
  <si>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</si>
  <si>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</si>
  <si>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</si>
  <si>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</si>
  <si>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</si>
  <si>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</si>
  <si>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</si>
  <si>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</si>
  <si>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</si>
  <si>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</si>
  <si>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</si>
  <si>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</si>
  <si>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</si>
  <si>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</si>
  <si>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</si>
  <si>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</si>
  <si>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</si>
  <si>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</si>
  <si>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</si>
  <si>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</si>
  <si>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</si>
  <si>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</si>
  <si>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</si>
  <si>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</si>
  <si>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</si>
  <si>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</si>
  <si>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TOTAL</t>
  </si>
  <si>
    <t>21.5 h estimées · capacité 24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</si>
  <si>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</si>
  <si>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</si>
  <si>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</si>
  <si>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</si>
  <si>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</si>
  <si>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</si>
  <si>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</si>
  <si>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</si>
  <si>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SPRINT BACKLOG : SPRINT 2</t>
  </si>
  <si>
    <t>Sprint 2</t>
  </si>
  <si>
    <t>T-02.5</t>
  </si>
  <si>
    <t>Tests pytest + Vitest + ajout README section upload</t>
  </si>
  <si>
    <t>US-03</t>
  </si>
  <si>
    <t>T-03.1</t>
  </si>
  <si>
    <t xml:space="preserve">benchmark 3 modelèles LLM </t>
  </si>
  <si>
    <t>T-03.2</t>
  </si>
  <si>
    <t>redaction ADR</t>
  </si>
  <si>
    <t>T-03.3</t>
  </si>
  <si>
    <t>Migration nouveau modéle</t>
  </si>
  <si>
    <t>T-03.4</t>
  </si>
  <si>
    <t>re-test génération quiz</t>
  </si>
  <si>
    <t>Célia</t>
  </si>
  <si>
    <t>US-21</t>
  </si>
  <si>
    <t>T-21.1</t>
  </si>
  <si>
    <t>Sanitization texte source : strip HTML, Markdown, caractères invisibles avant envoi LLM</t>
  </si>
  <si>
    <t>todo</t>
  </si>
  <si>
    <t>T-21.2</t>
  </si>
  <si>
    <t>Séparation system/user via messages: [{role: system}, {role: user}] — supprimer toute concaténation string</t>
  </si>
  <si>
    <t>T-21.3</t>
  </si>
  <si>
    <t>Tests adversariaux T1+T2 pytest (injection directe + injection indirecte texte blanc)</t>
  </si>
  <si>
    <t>US-22</t>
  </si>
  <si>
    <t>T-22.1</t>
  </si>
  <si>
    <t>Validation JSON stricte : exactement 4 options, 1 correct_index entre 0-3, longueur question &gt; 10 car</t>
  </si>
  <si>
    <t>T-22.2</t>
  </si>
  <si>
    <t>Re-prompt automatique si validation échoue (max 2 essais) + retour erreur 503 au 3ème échec</t>
  </si>
  <si>
    <t>T-22.3</t>
  </si>
  <si>
    <t>Tests adversariaux T3+T4+T5 pytest (jailbreak, extraction prompt, overflow JSON)</t>
  </si>
  <si>
    <t>US-25</t>
  </si>
  <si>
    <t>T-25.1</t>
  </si>
  <si>
    <t>Endpoint GET /api/accounts/me/export/ filtré par request.user — retourne les 6 catégories (compte, cours, quiz, réponses, scores, signalements) en JSON</t>
  </si>
  <si>
    <t>T-25.2</t>
  </si>
  <si>
    <t>Bouton "Exporter mes données" sur page profil frontend — déclenche téléchargement automatique</t>
  </si>
  <si>
    <t>T-25.3</t>
  </si>
  <si>
    <t>Test unitaire : user A demande export → 0 donnée de user B dans le fichier (anti-leak)</t>
  </si>
  <si>
    <t>T-25.4</t>
  </si>
  <si>
    <t>ajout page mentions legales</t>
  </si>
  <si>
    <t>ilham</t>
  </si>
  <si>
    <t>US-27</t>
  </si>
  <si>
    <t>T-27.1</t>
  </si>
  <si>
    <t>Modèle DataRequest Django : fields = user, date_demande, statut (reçue/en cours/répondue), date_reponse, hash_fichier</t>
  </si>
  <si>
    <t>T-27.2</t>
  </si>
  <si>
    <t>Créer automatiquement un DataRequest à chaque appel de l'endpoint export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</si>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</sst>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yy"/>
  </numFmts>
  <fonts count="25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horizontal="center" vertical="center"/>
    </xf>
    <xf borderId="2" fillId="6" fontId="20" numFmtId="0" xfId="0" applyBorder="1" applyFill="1" applyFont="1"/>
    <xf borderId="2" fillId="6" fontId="21" numFmtId="0" xfId="0" applyBorder="1" applyFont="1"/>
    <xf borderId="2" fillId="6" fontId="9" numFmtId="0" xfId="0" applyBorder="1" applyFont="1"/>
    <xf borderId="0" fillId="0" fontId="22" numFmtId="0" xfId="0" applyFont="1"/>
    <xf borderId="0" fillId="0" fontId="23" numFmtId="0" xfId="0" applyFont="1"/>
    <xf borderId="2" fillId="0" fontId="16" numFmtId="164" xfId="0" applyAlignment="1" applyBorder="1" applyFont="1" applyNumberFormat="1">
      <alignment horizontal="left" shrinkToFit="0" vertical="center" wrapText="1"/>
    </xf>
    <xf borderId="2" fillId="5" fontId="16" numFmtId="0" xfId="0" applyAlignment="1" applyBorder="1" applyFont="1">
      <alignment readingOrder="0" shrinkToFit="0" vertical="center" wrapText="1"/>
    </xf>
    <xf borderId="2" fillId="7" fontId="15" numFmtId="0" xfId="0" applyAlignment="1" applyBorder="1" applyFill="1" applyFont="1">
      <alignment shrinkToFit="0" vertical="center" wrapText="1"/>
    </xf>
    <xf borderId="2" fillId="7" fontId="16" numFmtId="0" xfId="0" applyAlignment="1" applyBorder="1" applyFont="1">
      <alignment shrinkToFit="0" vertical="center" wrapText="1"/>
    </xf>
    <xf borderId="2" fillId="7" fontId="16" numFmtId="0" xfId="0" applyAlignment="1" applyBorder="1" applyFont="1">
      <alignment horizontal="center" vertical="center"/>
    </xf>
    <xf borderId="2" fillId="7" fontId="16" numFmtId="0" xfId="0" applyAlignment="1" applyBorder="1" applyFont="1">
      <alignment readingOrder="0" shrinkToFit="0" vertical="center" wrapText="1"/>
    </xf>
    <xf borderId="0" fillId="7" fontId="24" numFmtId="0" xfId="0" applyFont="1"/>
    <xf borderId="2" fillId="8" fontId="15" numFmtId="0" xfId="0" applyAlignment="1" applyBorder="1" applyFill="1" applyFont="1">
      <alignment shrinkToFit="0" vertical="center" wrapText="1"/>
    </xf>
    <xf borderId="2" fillId="8" fontId="16" numFmtId="0" xfId="0" applyAlignment="1" applyBorder="1" applyFont="1">
      <alignment shrinkToFit="0" vertical="center" wrapText="1"/>
    </xf>
    <xf borderId="2" fillId="8" fontId="16" numFmtId="0" xfId="0" applyAlignment="1" applyBorder="1" applyFont="1">
      <alignment horizontal="center" vertical="center"/>
    </xf>
    <xf borderId="2" fillId="8" fontId="15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readingOrder="0"/>
    </xf>
    <xf borderId="2" fillId="8" fontId="16" numFmtId="0" xfId="0" applyAlignment="1" applyBorder="1" applyFont="1">
      <alignment readingOrder="0" shrinkToFit="0" vertical="center" wrapText="1"/>
    </xf>
    <xf borderId="2" fillId="8" fontId="16" numFmtId="0" xfId="0" applyAlignment="1" applyBorder="1" applyFont="1">
      <alignment horizontal="center" readingOrder="0" vertical="center"/>
    </xf>
    <xf borderId="0" fillId="8" fontId="16" numFmtId="0" xfId="0" applyAlignment="1" applyFont="1">
      <alignment readingOrder="0" shrinkToFit="0" vertical="center" wrapText="1"/>
    </xf>
    <xf borderId="0" fillId="8" fontId="16" numFmtId="0" xfId="0" applyAlignment="1" applyFont="1">
      <alignment horizontal="center" readingOrder="0" vertical="center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1" t="s">
        <v>19</v>
      </c>
    </row>
    <row r="12">
      <c r="B12" s="13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13</v>
      </c>
    </row>
    <row r="6" ht="21.75" customHeight="1">
      <c r="A6" s="15" t="s">
        <v>26</v>
      </c>
      <c r="B6" s="16" t="s">
        <v>27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1.75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20" t="s">
        <v>54</v>
      </c>
      <c r="B20" s="20" t="s">
        <v>55</v>
      </c>
      <c r="C20" s="21" t="s">
        <v>56</v>
      </c>
      <c r="D20" s="21" t="s">
        <v>57</v>
      </c>
      <c r="E20" s="22">
        <v>1.0</v>
      </c>
      <c r="F20" s="22">
        <v>0.0</v>
      </c>
      <c r="G20" s="21" t="s">
        <v>58</v>
      </c>
    </row>
    <row r="21" ht="30.0" customHeight="1">
      <c r="A21" s="20" t="s">
        <v>54</v>
      </c>
      <c r="B21" s="20" t="s">
        <v>59</v>
      </c>
      <c r="C21" s="21" t="s">
        <v>60</v>
      </c>
      <c r="D21" s="21" t="s">
        <v>61</v>
      </c>
      <c r="E21" s="22">
        <v>2.0</v>
      </c>
      <c r="F21" s="22">
        <v>0.0</v>
      </c>
      <c r="G21" s="21" t="s">
        <v>58</v>
      </c>
    </row>
    <row r="22" ht="30.0" customHeight="1">
      <c r="A22" s="20" t="s">
        <v>54</v>
      </c>
      <c r="B22" s="20" t="s">
        <v>62</v>
      </c>
      <c r="C22" s="21" t="s">
        <v>63</v>
      </c>
      <c r="D22" s="21" t="s">
        <v>64</v>
      </c>
      <c r="E22" s="22">
        <v>3.0</v>
      </c>
      <c r="F22" s="22">
        <v>0.0</v>
      </c>
      <c r="G22" s="21" t="s">
        <v>58</v>
      </c>
    </row>
    <row r="23" ht="30.0" customHeight="1">
      <c r="A23" s="20" t="s">
        <v>54</v>
      </c>
      <c r="B23" s="20" t="s">
        <v>65</v>
      </c>
      <c r="C23" s="21" t="s">
        <v>66</v>
      </c>
      <c r="D23" s="21" t="s">
        <v>67</v>
      </c>
      <c r="E23" s="22">
        <v>1.0</v>
      </c>
      <c r="F23" s="22">
        <v>0.0</v>
      </c>
      <c r="G23" s="21" t="s">
        <v>58</v>
      </c>
    </row>
    <row r="24" ht="30.0" customHeight="1">
      <c r="A24" s="23" t="s">
        <v>68</v>
      </c>
      <c r="B24" s="23" t="s">
        <v>69</v>
      </c>
      <c r="C24" s="24" t="s">
        <v>70</v>
      </c>
      <c r="D24" s="24" t="s">
        <v>71</v>
      </c>
      <c r="E24" s="25">
        <v>1.0</v>
      </c>
      <c r="F24" s="25">
        <v>0.0</v>
      </c>
      <c r="G24" s="24" t="s">
        <v>58</v>
      </c>
    </row>
    <row r="25" ht="30.0" customHeight="1">
      <c r="A25" s="23" t="s">
        <v>68</v>
      </c>
      <c r="B25" s="23" t="s">
        <v>72</v>
      </c>
      <c r="C25" s="24" t="s">
        <v>73</v>
      </c>
      <c r="D25" s="24" t="s">
        <v>74</v>
      </c>
      <c r="E25" s="25">
        <v>3.0</v>
      </c>
      <c r="F25" s="25">
        <v>0.0</v>
      </c>
      <c r="G25" s="24" t="s">
        <v>58</v>
      </c>
    </row>
    <row r="26" ht="30.0" customHeight="1">
      <c r="A26" s="23" t="s">
        <v>68</v>
      </c>
      <c r="B26" s="23" t="s">
        <v>75</v>
      </c>
      <c r="C26" s="24" t="s">
        <v>76</v>
      </c>
      <c r="D26" s="24" t="s">
        <v>61</v>
      </c>
      <c r="E26" s="25">
        <v>1.0</v>
      </c>
      <c r="F26" s="25">
        <v>0.0</v>
      </c>
      <c r="G26" s="24" t="s">
        <v>58</v>
      </c>
    </row>
    <row r="27" ht="30.0" customHeight="1">
      <c r="A27" s="23" t="s">
        <v>68</v>
      </c>
      <c r="B27" s="23" t="s">
        <v>77</v>
      </c>
      <c r="C27" s="24" t="s">
        <v>78</v>
      </c>
      <c r="D27" s="24" t="s">
        <v>64</v>
      </c>
      <c r="E27" s="25">
        <v>3.0</v>
      </c>
      <c r="F27" s="25">
        <v>0.0</v>
      </c>
      <c r="G27" s="24" t="s">
        <v>58</v>
      </c>
    </row>
    <row r="28" ht="15.75" customHeight="1">
      <c r="A28" s="26" t="s">
        <v>79</v>
      </c>
      <c r="B28" s="27"/>
      <c r="C28" s="28" t="s">
        <v>80</v>
      </c>
      <c r="D28" s="27"/>
      <c r="E28" s="26">
        <f t="shared" ref="E28:F28" si="1">SUM(E20:E27)</f>
        <v>15</v>
      </c>
      <c r="F28" s="26">
        <f t="shared" si="1"/>
        <v>0</v>
      </c>
      <c r="G28" s="26"/>
    </row>
    <row r="29" ht="15.75" customHeight="1"/>
    <row r="30" ht="15.75" customHeight="1">
      <c r="A30" s="3" t="s">
        <v>81</v>
      </c>
    </row>
    <row r="31" ht="15.75" customHeight="1">
      <c r="A31" s="29" t="s">
        <v>82</v>
      </c>
      <c r="B31" s="9" t="s">
        <v>83</v>
      </c>
    </row>
    <row r="32" ht="15.75" customHeight="1">
      <c r="A32" s="30" t="s">
        <v>84</v>
      </c>
      <c r="B32" s="9" t="s">
        <v>85</v>
      </c>
    </row>
    <row r="33" ht="15.75" customHeight="1">
      <c r="A33" s="18" t="s">
        <v>86</v>
      </c>
      <c r="B33" s="9" t="s">
        <v>87</v>
      </c>
    </row>
    <row r="34" ht="15.75" customHeight="1">
      <c r="A34" s="17" t="s">
        <v>58</v>
      </c>
      <c r="B34" s="9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90</v>
      </c>
    </row>
    <row r="6" ht="21.75" customHeight="1">
      <c r="A6" s="15" t="s">
        <v>26</v>
      </c>
      <c r="B6" s="31">
        <v>46204.0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7.0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23" t="s">
        <v>68</v>
      </c>
      <c r="B20" s="23" t="s">
        <v>91</v>
      </c>
      <c r="C20" s="24" t="s">
        <v>92</v>
      </c>
      <c r="D20" s="24" t="s">
        <v>57</v>
      </c>
      <c r="E20" s="25">
        <v>1.0</v>
      </c>
      <c r="F20" s="25">
        <v>1.0</v>
      </c>
      <c r="G20" s="32" t="s">
        <v>58</v>
      </c>
    </row>
    <row r="21" ht="30.0" customHeight="1">
      <c r="A21" s="33" t="s">
        <v>93</v>
      </c>
      <c r="B21" s="33" t="s">
        <v>94</v>
      </c>
      <c r="C21" s="34" t="s">
        <v>95</v>
      </c>
      <c r="D21" s="34" t="s">
        <v>57</v>
      </c>
      <c r="E21" s="35">
        <v>2.0</v>
      </c>
      <c r="F21" s="35">
        <v>2.0</v>
      </c>
      <c r="G21" s="36" t="s">
        <v>58</v>
      </c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0.0" customHeight="1">
      <c r="A22" s="33" t="s">
        <v>93</v>
      </c>
      <c r="B22" s="33" t="s">
        <v>96</v>
      </c>
      <c r="C22" s="34" t="s">
        <v>97</v>
      </c>
      <c r="D22" s="34" t="s">
        <v>71</v>
      </c>
      <c r="E22" s="35">
        <v>1.0</v>
      </c>
      <c r="F22" s="35">
        <v>1.0</v>
      </c>
      <c r="G22" s="36" t="s">
        <v>58</v>
      </c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30.0" customHeight="1">
      <c r="A23" s="33" t="s">
        <v>93</v>
      </c>
      <c r="B23" s="33" t="s">
        <v>98</v>
      </c>
      <c r="C23" s="34" t="s">
        <v>99</v>
      </c>
      <c r="D23" s="34" t="s">
        <v>74</v>
      </c>
      <c r="E23" s="35">
        <v>2.0</v>
      </c>
      <c r="F23" s="35">
        <v>2.0</v>
      </c>
      <c r="G23" s="36" t="s">
        <v>58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0.0" customHeight="1">
      <c r="A24" s="33" t="s">
        <v>93</v>
      </c>
      <c r="B24" s="33" t="s">
        <v>100</v>
      </c>
      <c r="C24" s="34" t="s">
        <v>101</v>
      </c>
      <c r="D24" s="34" t="s">
        <v>102</v>
      </c>
      <c r="E24" s="35">
        <v>0.5</v>
      </c>
      <c r="F24" s="35">
        <v>0.5</v>
      </c>
      <c r="G24" s="36" t="s">
        <v>58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30.0" customHeight="1">
      <c r="A25" s="38"/>
      <c r="B25" s="38"/>
      <c r="C25" s="39"/>
      <c r="D25" s="39"/>
      <c r="E25" s="40"/>
      <c r="F25" s="40"/>
      <c r="G25" s="39"/>
    </row>
    <row r="26" ht="30.0" customHeight="1">
      <c r="A26" s="38"/>
      <c r="B26" s="38"/>
      <c r="C26" s="39"/>
      <c r="D26" s="39"/>
      <c r="E26" s="40"/>
      <c r="F26" s="40"/>
      <c r="G26" s="39"/>
    </row>
    <row r="27" ht="15.75" customHeight="1">
      <c r="A27" s="26" t="s">
        <v>79</v>
      </c>
      <c r="B27" s="27"/>
      <c r="C27" s="28" t="s">
        <v>80</v>
      </c>
      <c r="D27" s="27"/>
      <c r="E27" s="26">
        <f t="shared" ref="E27:F27" si="1">SUM(E20:E26)</f>
        <v>6.5</v>
      </c>
      <c r="F27" s="26">
        <f t="shared" si="1"/>
        <v>6.5</v>
      </c>
      <c r="G27" s="26"/>
    </row>
    <row r="28" ht="15.75" customHeight="1"/>
    <row r="29" ht="15.75" customHeight="1">
      <c r="A29" s="3" t="s">
        <v>81</v>
      </c>
    </row>
    <row r="30" ht="15.75" customHeight="1">
      <c r="A30" s="29" t="s">
        <v>82</v>
      </c>
      <c r="B30" s="9" t="s">
        <v>83</v>
      </c>
    </row>
    <row r="31" ht="15.75" customHeight="1">
      <c r="A31" s="30" t="s">
        <v>84</v>
      </c>
      <c r="B31" s="9" t="s">
        <v>85</v>
      </c>
    </row>
    <row r="32" ht="15.75" customHeight="1">
      <c r="A32" s="18" t="s">
        <v>86</v>
      </c>
      <c r="B32" s="9" t="s">
        <v>87</v>
      </c>
    </row>
    <row r="33" ht="15.75" customHeight="1">
      <c r="A33" s="17" t="s">
        <v>58</v>
      </c>
      <c r="B33" s="9" t="s">
        <v>88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90</v>
      </c>
    </row>
    <row r="6" ht="21.75" customHeight="1">
      <c r="A6" s="15" t="s">
        <v>26</v>
      </c>
      <c r="B6" s="31">
        <v>46204.0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7.0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41" t="s">
        <v>103</v>
      </c>
      <c r="B20" s="42" t="s">
        <v>104</v>
      </c>
      <c r="C20" s="42" t="s">
        <v>105</v>
      </c>
      <c r="D20" s="43" t="s">
        <v>74</v>
      </c>
      <c r="E20" s="44">
        <v>1.0</v>
      </c>
      <c r="F20" s="44">
        <v>1.0</v>
      </c>
      <c r="G20" s="43" t="s">
        <v>106</v>
      </c>
    </row>
    <row r="21" ht="30.0" customHeight="1">
      <c r="A21" s="41" t="s">
        <v>103</v>
      </c>
      <c r="B21" s="42" t="s">
        <v>107</v>
      </c>
      <c r="C21" s="42" t="s">
        <v>108</v>
      </c>
      <c r="D21" s="43" t="s">
        <v>57</v>
      </c>
      <c r="E21" s="44">
        <v>1.0</v>
      </c>
      <c r="F21" s="44">
        <v>1.0</v>
      </c>
      <c r="G21" s="43" t="s">
        <v>106</v>
      </c>
    </row>
    <row r="22" ht="30.0" customHeight="1">
      <c r="A22" s="41" t="s">
        <v>103</v>
      </c>
      <c r="B22" s="42" t="s">
        <v>109</v>
      </c>
      <c r="C22" s="42" t="s">
        <v>110</v>
      </c>
      <c r="D22" s="43" t="s">
        <v>74</v>
      </c>
      <c r="E22" s="44">
        <v>1.0</v>
      </c>
      <c r="F22" s="44">
        <v>1.0</v>
      </c>
      <c r="G22" s="43" t="s">
        <v>106</v>
      </c>
    </row>
    <row r="23" ht="30.0" customHeight="1">
      <c r="A23" s="41" t="s">
        <v>111</v>
      </c>
      <c r="B23" s="41" t="s">
        <v>112</v>
      </c>
      <c r="C23" s="42" t="s">
        <v>113</v>
      </c>
      <c r="D23" s="43" t="s">
        <v>61</v>
      </c>
      <c r="E23" s="44">
        <v>1.0</v>
      </c>
      <c r="F23" s="44">
        <v>1.0</v>
      </c>
      <c r="G23" s="43" t="s">
        <v>106</v>
      </c>
    </row>
    <row r="24" ht="30.0" customHeight="1">
      <c r="A24" s="41" t="s">
        <v>111</v>
      </c>
      <c r="B24" s="41" t="s">
        <v>114</v>
      </c>
      <c r="C24" s="42" t="s">
        <v>115</v>
      </c>
      <c r="D24" s="43" t="s">
        <v>61</v>
      </c>
      <c r="E24" s="44">
        <v>0.5</v>
      </c>
      <c r="F24" s="44">
        <v>0.5</v>
      </c>
      <c r="G24" s="43" t="s">
        <v>106</v>
      </c>
    </row>
    <row r="25" ht="30.0" customHeight="1">
      <c r="A25" s="41" t="s">
        <v>111</v>
      </c>
      <c r="B25" s="41" t="s">
        <v>116</v>
      </c>
      <c r="C25" s="42" t="s">
        <v>117</v>
      </c>
      <c r="D25" s="43" t="s">
        <v>74</v>
      </c>
      <c r="E25" s="44">
        <v>1.0</v>
      </c>
      <c r="F25" s="44">
        <v>1.0</v>
      </c>
      <c r="G25" s="43" t="s">
        <v>106</v>
      </c>
    </row>
    <row r="26" ht="30.0" customHeight="1">
      <c r="A26" s="41" t="s">
        <v>118</v>
      </c>
      <c r="B26" s="41" t="s">
        <v>119</v>
      </c>
      <c r="C26" s="42" t="s">
        <v>120</v>
      </c>
      <c r="D26" s="43" t="s">
        <v>61</v>
      </c>
      <c r="E26" s="44">
        <v>2.0</v>
      </c>
      <c r="F26" s="44">
        <v>2.0</v>
      </c>
      <c r="G26" s="43" t="s">
        <v>106</v>
      </c>
    </row>
    <row r="27" ht="30.0" customHeight="1">
      <c r="A27" s="41" t="s">
        <v>118</v>
      </c>
      <c r="B27" s="41" t="s">
        <v>121</v>
      </c>
      <c r="C27" s="42" t="s">
        <v>122</v>
      </c>
      <c r="D27" s="43" t="s">
        <v>64</v>
      </c>
      <c r="E27" s="44">
        <v>1.0</v>
      </c>
      <c r="F27" s="44">
        <v>1.0</v>
      </c>
      <c r="G27" s="43" t="s">
        <v>106</v>
      </c>
    </row>
    <row r="28" ht="30.0" customHeight="1">
      <c r="A28" s="41" t="s">
        <v>118</v>
      </c>
      <c r="B28" s="41" t="s">
        <v>123</v>
      </c>
      <c r="C28" s="42" t="s">
        <v>124</v>
      </c>
      <c r="D28" s="43" t="s">
        <v>57</v>
      </c>
      <c r="E28" s="44">
        <v>0.5</v>
      </c>
      <c r="F28" s="44">
        <v>0.5</v>
      </c>
      <c r="G28" s="43" t="s">
        <v>106</v>
      </c>
    </row>
    <row r="29" ht="30.0" customHeight="1">
      <c r="A29" s="41" t="s">
        <v>118</v>
      </c>
      <c r="B29" s="41" t="s">
        <v>125</v>
      </c>
      <c r="C29" s="42" t="s">
        <v>126</v>
      </c>
      <c r="D29" s="45" t="s">
        <v>127</v>
      </c>
      <c r="E29" s="46">
        <v>0.5</v>
      </c>
      <c r="F29" s="44">
        <v>0.5</v>
      </c>
      <c r="G29" s="43" t="s">
        <v>106</v>
      </c>
    </row>
    <row r="30" ht="30.0" customHeight="1">
      <c r="A30" s="41" t="s">
        <v>128</v>
      </c>
      <c r="B30" s="41" t="s">
        <v>129</v>
      </c>
      <c r="C30" s="42" t="s">
        <v>130</v>
      </c>
      <c r="D30" s="42" t="s">
        <v>61</v>
      </c>
      <c r="E30" s="42">
        <v>0.5</v>
      </c>
      <c r="F30" s="44">
        <v>0.5</v>
      </c>
      <c r="G30" s="43" t="s">
        <v>106</v>
      </c>
    </row>
    <row r="31" ht="30.0" customHeight="1">
      <c r="A31" s="41" t="s">
        <v>128</v>
      </c>
      <c r="B31" s="41" t="s">
        <v>131</v>
      </c>
      <c r="C31" s="42" t="s">
        <v>132</v>
      </c>
      <c r="D31" s="42" t="s">
        <v>61</v>
      </c>
      <c r="E31" s="42">
        <v>0.5</v>
      </c>
      <c r="F31" s="44">
        <v>0.5</v>
      </c>
      <c r="G31" s="43" t="s">
        <v>106</v>
      </c>
    </row>
    <row r="32" ht="30.0" customHeight="1">
      <c r="A32" s="38"/>
      <c r="B32" s="38"/>
      <c r="C32" s="39"/>
      <c r="D32" s="39"/>
      <c r="E32" s="40"/>
      <c r="F32" s="40"/>
      <c r="G32" s="39"/>
    </row>
    <row r="33" ht="30.0" customHeight="1">
      <c r="A33" s="38"/>
      <c r="B33" s="38"/>
      <c r="C33" s="39"/>
      <c r="D33" s="39"/>
      <c r="E33" s="40"/>
      <c r="F33" s="40"/>
      <c r="G33" s="39"/>
    </row>
    <row r="34" ht="15.75" customHeight="1">
      <c r="A34" s="26" t="s">
        <v>79</v>
      </c>
      <c r="B34" s="27"/>
      <c r="C34" s="28" t="s">
        <v>80</v>
      </c>
      <c r="D34" s="27"/>
      <c r="E34" s="26">
        <f t="shared" ref="E34:F34" si="1">SUM(E20:E33)</f>
        <v>10.5</v>
      </c>
      <c r="F34" s="26">
        <f t="shared" si="1"/>
        <v>10.5</v>
      </c>
      <c r="G34" s="26"/>
    </row>
    <row r="35" ht="15.75" customHeight="1"/>
    <row r="36" ht="15.75" customHeight="1">
      <c r="A36" s="3" t="s">
        <v>81</v>
      </c>
    </row>
    <row r="37" ht="15.75" customHeight="1">
      <c r="A37" s="29" t="s">
        <v>82</v>
      </c>
      <c r="B37" s="9" t="s">
        <v>83</v>
      </c>
    </row>
    <row r="38" ht="15.75" customHeight="1">
      <c r="A38" s="30" t="s">
        <v>84</v>
      </c>
      <c r="B38" s="9" t="s">
        <v>85</v>
      </c>
    </row>
    <row r="39" ht="15.75" customHeight="1">
      <c r="A39" s="18" t="s">
        <v>86</v>
      </c>
      <c r="B39" s="9" t="s">
        <v>87</v>
      </c>
    </row>
    <row r="40" ht="15.75" customHeight="1">
      <c r="A40" s="17" t="s">
        <v>58</v>
      </c>
      <c r="B40" s="9" t="s">
        <v>88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4" t="s">
        <v>133</v>
      </c>
    </row>
    <row r="2">
      <c r="A2" s="9" t="s">
        <v>134</v>
      </c>
    </row>
    <row r="4">
      <c r="A4" s="3" t="s">
        <v>135</v>
      </c>
      <c r="B4" s="9" t="s">
        <v>136</v>
      </c>
    </row>
    <row r="5">
      <c r="A5" s="3" t="s">
        <v>137</v>
      </c>
      <c r="B5" s="9" t="s">
        <v>138</v>
      </c>
    </row>
    <row r="7">
      <c r="A7" s="19" t="s">
        <v>139</v>
      </c>
      <c r="B7" s="19" t="s">
        <v>140</v>
      </c>
      <c r="C7" s="19" t="s">
        <v>141</v>
      </c>
      <c r="D7" s="19" t="s">
        <v>142</v>
      </c>
      <c r="E7" s="19" t="s">
        <v>143</v>
      </c>
    </row>
    <row r="8" ht="24.75" customHeight="1">
      <c r="A8" s="47" t="s">
        <v>144</v>
      </c>
      <c r="B8" s="48">
        <v>21.5</v>
      </c>
      <c r="C8" s="48">
        <v>21.5</v>
      </c>
      <c r="D8" s="48">
        <f t="shared" ref="D8:D12" si="1">C8-B8</f>
        <v>0</v>
      </c>
      <c r="E8" s="16" t="s">
        <v>145</v>
      </c>
    </row>
    <row r="9" ht="24.75" customHeight="1">
      <c r="A9" s="47" t="s">
        <v>146</v>
      </c>
      <c r="B9" s="48">
        <v>12.0</v>
      </c>
      <c r="C9" s="48">
        <v>11.0</v>
      </c>
      <c r="D9" s="48">
        <f t="shared" si="1"/>
        <v>-1</v>
      </c>
      <c r="E9" s="16" t="s">
        <v>147</v>
      </c>
    </row>
    <row r="10" ht="24.75" customHeight="1">
      <c r="A10" s="47" t="s">
        <v>148</v>
      </c>
      <c r="B10" s="48">
        <v>14.5</v>
      </c>
      <c r="C10" s="48">
        <v>12.0</v>
      </c>
      <c r="D10" s="48">
        <f t="shared" si="1"/>
        <v>-2.5</v>
      </c>
      <c r="E10" s="16" t="s">
        <v>149</v>
      </c>
    </row>
    <row r="11" ht="24.75" customHeight="1">
      <c r="A11" s="47" t="s">
        <v>150</v>
      </c>
      <c r="B11" s="48">
        <v>6.0</v>
      </c>
      <c r="C11" s="48">
        <v>3.0</v>
      </c>
      <c r="D11" s="48">
        <f t="shared" si="1"/>
        <v>-3</v>
      </c>
      <c r="E11" s="16" t="s">
        <v>151</v>
      </c>
    </row>
    <row r="12" ht="24.75" customHeight="1">
      <c r="A12" s="47" t="s">
        <v>152</v>
      </c>
      <c r="B12" s="48">
        <v>2.0</v>
      </c>
      <c r="C12" s="48">
        <v>0.0</v>
      </c>
      <c r="D12" s="48">
        <f t="shared" si="1"/>
        <v>-2</v>
      </c>
      <c r="E12" s="16" t="s">
        <v>153</v>
      </c>
    </row>
    <row r="15">
      <c r="A15" s="3" t="s">
        <v>154</v>
      </c>
      <c r="B15" s="7" t="s">
        <v>155</v>
      </c>
    </row>
    <row r="17">
      <c r="A17" s="3" t="s">
        <v>156</v>
      </c>
    </row>
    <row r="18">
      <c r="A18" s="17" t="s">
        <v>157</v>
      </c>
      <c r="B18" s="9" t="s">
        <v>158</v>
      </c>
    </row>
    <row r="19">
      <c r="A19" s="30" t="s">
        <v>159</v>
      </c>
      <c r="B19" s="9" t="s">
        <v>160</v>
      </c>
    </row>
    <row r="20">
      <c r="A20" s="17" t="s">
        <v>161</v>
      </c>
      <c r="B20" s="9" t="s">
        <v>162</v>
      </c>
    </row>
    <row r="21" ht="15.75" customHeight="1">
      <c r="A21" s="18" t="s">
        <v>163</v>
      </c>
      <c r="B21" s="9" t="s">
        <v>164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165</v>
      </c>
    </row>
    <row r="3">
      <c r="B3" s="9" t="s">
        <v>166</v>
      </c>
    </row>
    <row r="5">
      <c r="A5" s="19"/>
      <c r="B5" s="19" t="s">
        <v>167</v>
      </c>
      <c r="C5" s="19" t="s">
        <v>168</v>
      </c>
      <c r="D5" s="12" t="s">
        <v>169</v>
      </c>
    </row>
    <row r="6" ht="30.0" customHeight="1">
      <c r="B6" s="49" t="s">
        <v>170</v>
      </c>
      <c r="C6" s="50" t="s">
        <v>171</v>
      </c>
      <c r="D6" s="49" t="s">
        <v>172</v>
      </c>
    </row>
    <row r="7" ht="30.0" customHeight="1">
      <c r="B7" s="49" t="s">
        <v>173</v>
      </c>
      <c r="C7" s="50" t="s">
        <v>171</v>
      </c>
      <c r="D7" s="49" t="s">
        <v>174</v>
      </c>
    </row>
    <row r="8" ht="30.0" customHeight="1">
      <c r="B8" s="49" t="s">
        <v>175</v>
      </c>
      <c r="C8" s="50" t="s">
        <v>171</v>
      </c>
      <c r="D8" s="49" t="s">
        <v>176</v>
      </c>
    </row>
    <row r="9" ht="30.0" customHeight="1">
      <c r="B9" s="49" t="s">
        <v>177</v>
      </c>
      <c r="C9" s="50" t="s">
        <v>171</v>
      </c>
      <c r="D9" s="49" t="s">
        <v>178</v>
      </c>
    </row>
    <row r="10" ht="30.0" customHeight="1">
      <c r="B10" s="49" t="s">
        <v>179</v>
      </c>
      <c r="C10" s="50" t="s">
        <v>171</v>
      </c>
      <c r="D10" s="49" t="s">
        <v>180</v>
      </c>
    </row>
    <row r="11" ht="30.0" customHeight="1">
      <c r="B11" s="49" t="s">
        <v>181</v>
      </c>
      <c r="C11" s="50" t="s">
        <v>171</v>
      </c>
      <c r="D11" s="49" t="s">
        <v>182</v>
      </c>
    </row>
    <row r="12" ht="30.0" customHeight="1">
      <c r="B12" s="49" t="s">
        <v>183</v>
      </c>
      <c r="C12" s="50" t="s">
        <v>171</v>
      </c>
      <c r="D12" s="49" t="s">
        <v>184</v>
      </c>
    </row>
    <row r="13" ht="30.0" customHeight="1">
      <c r="B13" s="49" t="s">
        <v>185</v>
      </c>
      <c r="C13" s="50" t="s">
        <v>171</v>
      </c>
      <c r="D13" s="49" t="s">
        <v>186</v>
      </c>
    </row>
    <row r="14" ht="30.0" customHeight="1">
      <c r="B14" s="49" t="s">
        <v>187</v>
      </c>
      <c r="C14" s="50" t="s">
        <v>171</v>
      </c>
      <c r="D14" s="49" t="s">
        <v>188</v>
      </c>
    </row>
    <row r="15" ht="30.0" customHeight="1">
      <c r="B15" s="49" t="s">
        <v>189</v>
      </c>
      <c r="C15" s="50" t="s">
        <v>171</v>
      </c>
      <c r="D15" s="49" t="s">
        <v>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