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Sprint 1" sheetId="3" r:id="rId6"/>
    <sheet state="visible" name="Burndown Sprint 1" sheetId="4" r:id="rId7"/>
    <sheet state="visible" name="Auto-évaluation" sheetId="5" r:id="rId8"/>
  </sheets>
  <definedNames/>
  <calcPr/>
  <extLst>
    <ext uri="GoogleSheetsCustomDataVersion2">
      <go:sheetsCustomData xmlns:go="http://customooxmlschemas.google.com/" r:id="rId9" roundtripDataChecksum="5xjLJjDkwnfhpETBNMBmmPcJ/r4jaoFOsAm15KgOR2I="/>
    </ext>
  </extLst>
</workbook>
</file>

<file path=xl/sharedStrings.xml><?xml version="1.0" encoding="utf-8"?>
<sst xmlns="http://schemas.openxmlformats.org/spreadsheetml/2006/main" count="199" uniqueCount="159">
  <si>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</si>
  <si>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</si>
  <si>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</si>
  <si>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</si>
  <si>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</si>
  <si>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</si>
  <si>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</si>
  <si>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</si>
  <si>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</si>
  <si>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</si>
  <si>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</si>
  <si>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Nicolas CATALUNA, Celia MERABET, Monica RADIFERA RASAMOELIJAONA, Nolan LEFEBVRE, Ilham KADRI, Gabriel SAINT-LOUIS</t>
  </si>
  <si>
    <t>Sprint concerné</t>
  </si>
  <si>
    <t>Sprint 1</t>
  </si>
  <si>
    <t>Version</t>
  </si>
  <si>
    <t>v1,1</t>
  </si>
  <si>
    <t>Date de remise</t>
  </si>
  <si>
    <t>01/07/2026 avant 13h00</t>
  </si>
  <si>
    <t>Statut</t>
  </si>
  <si>
    <t xml:space="preserve">Draft 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</si>
  <si>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</si>
  <si>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</si>
  <si>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</si>
  <si>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</si>
  <si>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</si>
  <si>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</si>
  <si>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Date</t>
  </si>
  <si>
    <t>Lundi 29/06/2026, 14h00 à 18h00 (4 h)</t>
  </si>
  <si>
    <t>Équipe (n personnes)</t>
  </si>
  <si>
    <t>6 personnes</t>
  </si>
  <si>
    <t>Capacité totale</t>
  </si>
  <si>
    <t>6 × 4 h = 24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</si>
  <si>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</si>
  <si>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</si>
  <si>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</si>
  <si>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</si>
  <si>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</si>
  <si>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Nicolas CATALUNA</t>
  </si>
  <si>
    <t>Product Owner</t>
  </si>
  <si>
    <t xml:space="preserve">
Mostapha Bachir ADDI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</si>
  <si>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</si>
  <si>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</si>
  <si>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</si>
  <si>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</si>
  <si>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</si>
  <si>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</si>
  <si>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</si>
  <si>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</si>
  <si>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</si>
  <si>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</si>
  <si>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</si>
  <si>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</si>
  <si>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</si>
  <si>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</si>
  <si>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</si>
  <si>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</si>
  <si>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</si>
  <si>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Nicolas</t>
  </si>
  <si>
    <t>Done</t>
  </si>
  <si>
    <t>T-01.2</t>
  </si>
  <si>
    <t>Sérialiseur DRF + endpoint POST /api/signup avec validation email + mdp ≥ 8 car</t>
  </si>
  <si>
    <t>Gabriel</t>
  </si>
  <si>
    <t>T-01.3</t>
  </si>
  <si>
    <t>Page React /signup (formulaire + validation client + appel API + redirect)</t>
  </si>
  <si>
    <t>Celia</t>
  </si>
  <si>
    <t>T-01.4</t>
  </si>
  <si>
    <t>Tests pytest endpoint + Vitest composant React</t>
  </si>
  <si>
    <t>Ilham</t>
  </si>
  <si>
    <t>US-02</t>
  </si>
  <si>
    <t>T-02.1</t>
  </si>
  <si>
    <t>Modèle Course Django (user FK, title, content, source) + migration</t>
  </si>
  <si>
    <t>Monica</t>
  </si>
  <si>
    <t>T-02.2</t>
  </si>
  <si>
    <t>Endpoint POST /api/courses (PDF upload ≤ 5 Mo) + extraction texte (PyPDF2)</t>
  </si>
  <si>
    <t>Nolan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</si>
  <si>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</si>
  <si>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</si>
  <si>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</si>
  <si>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</si>
  <si>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T-02.5</t>
  </si>
  <si>
    <t>Tests pytest + Vitest + ajout README section upload</t>
  </si>
  <si>
    <t>In Progress</t>
  </si>
  <si>
    <t>US-03</t>
  </si>
  <si>
    <t>T-03.1</t>
  </si>
  <si>
    <t xml:space="preserve">benchmark 3 modelèles LLM </t>
  </si>
  <si>
    <t>Todo</t>
  </si>
  <si>
    <t>T-03.2</t>
  </si>
  <si>
    <t>redaction ADR</t>
  </si>
  <si>
    <t>T-03.3</t>
  </si>
  <si>
    <t>Migration nouveau modéle</t>
  </si>
  <si>
    <t>T-03.4</t>
  </si>
  <si>
    <t>re-test génération quiz</t>
  </si>
  <si>
    <t>Célia</t>
  </si>
  <si>
    <t>TOTAL</t>
  </si>
  <si>
    <t>21.5 h estimées · capacité 24 h-pers · marge 12 h pour onboarding, pair-programming, setup</t>
  </si>
  <si>
    <t>📌 STATUTS</t>
  </si>
  <si>
    <t>Tâche pas encore commencée</t>
  </si>
  <si>
    <t>Tâche en cours (1 seule par personne idéalement)</t>
  </si>
  <si>
    <t>Blocked</t>
  </si>
  <si>
    <t>Tâche bloquée, à remonter en daily</t>
  </si>
  <si>
    <t>Tâche terminée et validée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</si>
  <si>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</si>
  <si>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</si>
  <si>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</si>
  <si>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</si>
  <si>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</si>
  <si>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</si>
  <si>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</si>
  <si>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</si>
  <si>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</si>
  <si>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</si>
  <si>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</si>
  <si>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</si>
  <si>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</si>
  <si>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</si>
  <si>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</si>
  <si>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</si>
  <si>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</si>
  <si>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</si>
  <si>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</si>
  <si>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</si>
  <si>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</si>
  <si>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</si>
  <si>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</si>
  <si>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</si>
  <si>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</si>
  <si>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</si>
  <si>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</si>
  <si>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</si>
  <si>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</si>
  <si>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</si>
  <si>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</si>
  <si>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</si>
  <si>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</si>
  <si>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</si>
  <si>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</si>
  <si>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</si>
  <si>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</si>
  <si>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</si>
  <si>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✅ Oui   ☐ Partiel   ☐ Non</t>
  </si>
  <si>
    <t>6 personnes × 4h = 24h-pers, SM : Nicolas CATALUNA, PO : Audrey Noël</t>
  </si>
  <si>
    <t>Stories engagées tirées du Product Backlog avec leur ID (US-XX)</t>
  </si>
  <si>
    <t>US-01 (3 SP) et US-02 (5 SP) tirées du Product Backlog</t>
  </si>
  <si>
    <t>Chaque story est décomposée en 3-5 tâches techniques atomiques (1-3 h chacune)</t>
  </si>
  <si>
    <t>4 tâches pour US-01, 5 pour US-02 — entre 1h et 3h chacune</t>
  </si>
  <si>
    <t>Chaque tâche a un ID (T-XX.Y) et un libellé clair et actionnable</t>
  </si>
  <si>
    <t>IDs T-01.1 à T-02.5, libellés techniques précis</t>
  </si>
  <si>
    <t>Chaque tâche est assignée à une personne (pas de tâche orpheline)</t>
  </si>
  <si>
    <t>Chaque tâche assignée à Nicolas, Gabriel, Celia, Ilham, Monica ou Nolan</t>
  </si>
  <si>
    <t>Estimation horaire totale ≤ capacité du sprint (marge raisonnable conservée)</t>
  </si>
  <si>
    <t>Total estimé 16h ≤ capacité 24h (marge 8h conservée)</t>
  </si>
  <si>
    <t>Burndown initialisé avec heures idéales par moment du sprint</t>
  </si>
  <si>
    <t>Burndown initialisé : idéal 16h → 0h sur 4h de sprint</t>
  </si>
  <si>
    <t>Burndown mis à jour à chaque daily (colonne Réel renseignée)</t>
  </si>
  <si>
    <t>Colonnes Restant + Burndown réel renseignés en fin de sprint</t>
  </si>
  <si>
    <t>Sprint Review programmée en fin de sprint avec démo PO</t>
  </si>
  <si>
    <t>Sprint Review planifiée le 29/06/2026 à 17h30 — démo PO</t>
  </si>
  <si>
    <t>Le Sprint Backlog a été co-construit en Sprint Planning (toutes les voix entendues)</t>
  </si>
  <si>
    <t>Backlog co-construit en Sprint Planning collectif (équipe de 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</si>
</sst>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Calibri"/>
      <scheme val="minor"/>
    </font>
    <font>
      <b/>
      <sz val="72.0"/>
      <color rgb="FF1E1B4B"/>
      <name val="Calibri"/>
    </font>
    <font>
      <b/>
      <sz val="14.0"/>
      <color rgb="FF1E1B4B"/>
      <name val="Calibri"/>
    </font>
    <font>
      <b/>
      <sz val="10.0"/>
      <color rgb="FFF59E0B"/>
      <name val="Calibri"/>
    </font>
    <font>
      <b/>
      <sz val="24.0"/>
      <color rgb="FF1E1B4B"/>
      <name val="Calibri"/>
    </font>
    <font>
      <i/>
      <sz val="12.0"/>
      <color rgb="FF475569"/>
      <name val="Calibri"/>
    </font>
    <font>
      <b/>
      <sz val="11.0"/>
      <color rgb="FF475569"/>
      <name val="Calibri"/>
    </font>
    <font>
      <i/>
      <sz val="9.0"/>
      <color rgb="FF475569"/>
      <name val="Calibri"/>
    </font>
    <font>
      <b/>
      <sz val="12.0"/>
      <color rgb="FFF59E0B"/>
      <name val="Calibri"/>
    </font>
    <font>
      <i/>
      <sz val="10.0"/>
      <color rgb="FF475569"/>
      <name val="Calibri"/>
    </font>
    <font>
      <b/>
      <color rgb="FF1E1B4B"/>
      <name val="Calibri"/>
    </font>
    <font>
      <i/>
      <color rgb="FF475569"/>
      <name val="Calibri"/>
    </font>
    <font>
      <color theme="1"/>
      <name val="Calibri"/>
    </font>
    <font>
      <b/>
      <sz val="9.0"/>
      <color rgb="FFF59E0B"/>
      <name val="Calibri"/>
    </font>
    <font>
      <b/>
      <sz val="18.0"/>
      <color rgb="FF1E1B4B"/>
      <name val="Calibri"/>
    </font>
    <font>
      <b/>
      <sz val="10.0"/>
      <color rgb="FF1E1B4B"/>
      <name val="Calibri"/>
    </font>
    <font>
      <sz val="10.0"/>
      <color rgb="FF1E1B4B"/>
      <name val="Calibri"/>
    </font>
    <font>
      <b/>
      <sz val="10.0"/>
      <color rgb="FF16A34A"/>
      <name val="Calibri"/>
    </font>
    <font>
      <b/>
      <sz val="10.0"/>
      <color rgb="FFDC2626"/>
      <name val="Calibri"/>
    </font>
    <font>
      <b/>
      <sz val="11.0"/>
      <color rgb="FFFFFFFF"/>
      <name val="Calibri"/>
    </font>
    <font>
      <b/>
      <sz val="11.0"/>
      <color rgb="FF1E1B4B"/>
      <name val="Calibri"/>
    </font>
    <font>
      <sz val="11.0"/>
      <color theme="1"/>
      <name val="Calibri"/>
    </font>
    <font>
      <b/>
      <sz val="10.0"/>
      <color rgb="FF475569"/>
      <name val="Calibri"/>
    </font>
    <font>
      <b/>
      <sz val="10.0"/>
      <color rgb="FFB45309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FFFFFF"/>
        <bgColor rgb="FFFFFFFF"/>
      </patternFill>
    </fill>
    <fill>
      <patternFill patternType="solid">
        <fgColor rgb="FFE0E7FF"/>
        <bgColor rgb="FFE0E7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Border="1" applyFont="1"/>
    <xf borderId="0" fillId="0" fontId="12" numFmtId="0" xfId="0" applyFont="1"/>
    <xf borderId="1" fillId="0" fontId="11" numFmtId="0" xfId="0" applyAlignment="1" applyBorder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0" fontId="14" numFmtId="0" xfId="0" applyFont="1"/>
    <xf borderId="2" fillId="2" fontId="15" numFmtId="0" xfId="0" applyBorder="1" applyFont="1"/>
    <xf borderId="2" fillId="0" fontId="16" numFmtId="0" xfId="0" applyAlignment="1" applyBorder="1" applyFont="1">
      <alignment shrinkToFit="0" vertical="center" wrapText="1"/>
    </xf>
    <xf borderId="0" fillId="0" fontId="17" numFmtId="0" xfId="0" applyFont="1"/>
    <xf borderId="0" fillId="0" fontId="18" numFmtId="0" xfId="0" applyFont="1"/>
    <xf borderId="1" fillId="3" fontId="19" numFmtId="0" xfId="0" applyAlignment="1" applyBorder="1" applyFill="1" applyFont="1">
      <alignment horizontal="center" shrinkToFit="0" vertical="center" wrapText="1"/>
    </xf>
    <xf borderId="2" fillId="4" fontId="15" numFmtId="0" xfId="0" applyAlignment="1" applyBorder="1" applyFill="1" applyFont="1">
      <alignment shrinkToFit="0" vertical="center" wrapText="1"/>
    </xf>
    <xf borderId="2" fillId="4" fontId="16" numFmtId="0" xfId="0" applyAlignment="1" applyBorder="1" applyFont="1">
      <alignment shrinkToFit="0" vertical="center" wrapText="1"/>
    </xf>
    <xf borderId="2" fillId="4" fontId="16" numFmtId="0" xfId="0" applyAlignment="1" applyBorder="1" applyFont="1">
      <alignment horizontal="center" vertical="center"/>
    </xf>
    <xf borderId="2" fillId="5" fontId="15" numFmtId="0" xfId="0" applyAlignment="1" applyBorder="1" applyFill="1" applyFont="1">
      <alignment shrinkToFit="0" vertical="center" wrapText="1"/>
    </xf>
    <xf borderId="2" fillId="5" fontId="16" numFmtId="0" xfId="0" applyAlignment="1" applyBorder="1" applyFont="1">
      <alignment shrinkToFit="0" vertical="center" wrapText="1"/>
    </xf>
    <xf borderId="2" fillId="5" fontId="16" numFmtId="0" xfId="0" applyAlignment="1" applyBorder="1" applyFont="1">
      <alignment horizontal="center" vertical="center"/>
    </xf>
    <xf borderId="2" fillId="6" fontId="15" numFmtId="0" xfId="0" applyAlignment="1" applyBorder="1" applyFill="1" applyFont="1">
      <alignment readingOrder="0" shrinkToFit="0" vertical="center" wrapText="1"/>
    </xf>
    <xf borderId="2" fillId="6" fontId="16" numFmtId="0" xfId="0" applyAlignment="1" applyBorder="1" applyFont="1">
      <alignment readingOrder="0" shrinkToFit="0" vertical="center" wrapText="1"/>
    </xf>
    <xf borderId="2" fillId="6" fontId="16" numFmtId="0" xfId="0" applyAlignment="1" applyBorder="1" applyFont="1">
      <alignment horizontal="center" readingOrder="0" vertical="center"/>
    </xf>
    <xf borderId="2" fillId="6" fontId="16" numFmtId="0" xfId="0" applyAlignment="1" applyBorder="1" applyFont="1">
      <alignment shrinkToFit="0" vertical="center" wrapText="1"/>
    </xf>
    <xf borderId="2" fillId="7" fontId="20" numFmtId="0" xfId="0" applyBorder="1" applyFill="1" applyFont="1"/>
    <xf borderId="2" fillId="7" fontId="21" numFmtId="0" xfId="0" applyBorder="1" applyFont="1"/>
    <xf borderId="2" fillId="7" fontId="9" numFmtId="0" xfId="0" applyAlignment="1" applyBorder="1" applyFont="1">
      <alignment readingOrder="0"/>
    </xf>
    <xf borderId="0" fillId="0" fontId="22" numFmtId="0" xfId="0" applyFont="1"/>
    <xf borderId="0" fillId="0" fontId="23" numFmtId="0" xfId="0" applyFont="1"/>
    <xf borderId="2" fillId="0" fontId="15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horizontal="center" readingOrder="0" vertical="center"/>
    </xf>
    <xf borderId="2" fillId="0" fontId="16" numFmtId="0" xfId="0" applyAlignment="1" applyBorder="1" applyFont="1">
      <alignment horizontal="center" vertical="center"/>
    </xf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21.0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2" t="s">
        <v>13</v>
      </c>
    </row>
    <row r="8" ht="21.75" customHeight="1">
      <c r="B8" s="10" t="s">
        <v>14</v>
      </c>
      <c r="C8" s="13" t="s">
        <v>15</v>
      </c>
    </row>
    <row r="9" ht="21.75" customHeight="1">
      <c r="B9" s="10" t="s">
        <v>16</v>
      </c>
      <c r="C9" s="14" t="s">
        <v>17</v>
      </c>
    </row>
    <row r="10" ht="21.75" customHeight="1">
      <c r="B10" s="10" t="s">
        <v>18</v>
      </c>
      <c r="C10" s="13" t="s">
        <v>19</v>
      </c>
    </row>
    <row r="12">
      <c r="B12" s="15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6" t="s">
        <v>22</v>
      </c>
    </row>
    <row r="2">
      <c r="A2" s="9" t="s">
        <v>23</v>
      </c>
    </row>
    <row r="4">
      <c r="A4" s="8" t="s">
        <v>24</v>
      </c>
    </row>
    <row r="5" ht="21.75" customHeight="1">
      <c r="A5" s="17" t="s">
        <v>25</v>
      </c>
      <c r="B5" s="18" t="s">
        <v>13</v>
      </c>
    </row>
    <row r="6" ht="21.75" customHeight="1">
      <c r="A6" s="17" t="s">
        <v>26</v>
      </c>
      <c r="B6" s="18" t="s">
        <v>27</v>
      </c>
    </row>
    <row r="7" ht="21.75" customHeight="1">
      <c r="A7" s="17" t="s">
        <v>28</v>
      </c>
      <c r="B7" s="18" t="s">
        <v>29</v>
      </c>
    </row>
    <row r="8" ht="21.75" customHeight="1">
      <c r="A8" s="17" t="s">
        <v>30</v>
      </c>
      <c r="B8" s="18" t="s">
        <v>31</v>
      </c>
    </row>
    <row r="9" ht="21.75" customHeight="1">
      <c r="A9" s="17" t="s">
        <v>32</v>
      </c>
      <c r="B9" s="18" t="s">
        <v>33</v>
      </c>
    </row>
    <row r="10" ht="21.75" customHeight="1">
      <c r="A10" s="17" t="s">
        <v>34</v>
      </c>
      <c r="B10" s="18" t="s">
        <v>35</v>
      </c>
    </row>
    <row r="11" ht="21.75" customHeight="1">
      <c r="A11" s="17" t="s">
        <v>36</v>
      </c>
      <c r="B11" s="18" t="s">
        <v>37</v>
      </c>
    </row>
    <row r="12" ht="21.75" customHeight="1">
      <c r="A12" s="17" t="s">
        <v>38</v>
      </c>
      <c r="B12" s="18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9" t="s">
        <v>44</v>
      </c>
      <c r="B16" s="9" t="s">
        <v>45</v>
      </c>
    </row>
    <row r="17">
      <c r="A17" s="20" t="s">
        <v>46</v>
      </c>
      <c r="B17" s="9" t="s">
        <v>47</v>
      </c>
    </row>
    <row r="19">
      <c r="A19" s="21" t="s">
        <v>48</v>
      </c>
      <c r="B19" s="21" t="s">
        <v>49</v>
      </c>
      <c r="C19" s="21" t="s">
        <v>50</v>
      </c>
      <c r="D19" s="21" t="s">
        <v>51</v>
      </c>
      <c r="E19" s="21" t="s">
        <v>52</v>
      </c>
      <c r="F19" s="21" t="s">
        <v>53</v>
      </c>
      <c r="G19" s="21" t="s">
        <v>18</v>
      </c>
    </row>
    <row r="20" ht="30.0" customHeight="1">
      <c r="A20" s="22" t="s">
        <v>54</v>
      </c>
      <c r="B20" s="22" t="s">
        <v>55</v>
      </c>
      <c r="C20" s="23" t="s">
        <v>56</v>
      </c>
      <c r="D20" s="23" t="s">
        <v>57</v>
      </c>
      <c r="E20" s="24">
        <v>1.0</v>
      </c>
      <c r="F20" s="24">
        <v>0.0</v>
      </c>
      <c r="G20" s="23" t="s">
        <v>58</v>
      </c>
    </row>
    <row r="21" ht="30.0" customHeight="1">
      <c r="A21" s="22" t="s">
        <v>54</v>
      </c>
      <c r="B21" s="22" t="s">
        <v>59</v>
      </c>
      <c r="C21" s="23" t="s">
        <v>60</v>
      </c>
      <c r="D21" s="23" t="s">
        <v>61</v>
      </c>
      <c r="E21" s="24">
        <v>2.0</v>
      </c>
      <c r="F21" s="24">
        <v>0.0</v>
      </c>
      <c r="G21" s="23" t="s">
        <v>58</v>
      </c>
    </row>
    <row r="22" ht="30.0" customHeight="1">
      <c r="A22" s="22" t="s">
        <v>54</v>
      </c>
      <c r="B22" s="22" t="s">
        <v>62</v>
      </c>
      <c r="C22" s="23" t="s">
        <v>63</v>
      </c>
      <c r="D22" s="23" t="s">
        <v>64</v>
      </c>
      <c r="E22" s="24">
        <v>3.0</v>
      </c>
      <c r="F22" s="24">
        <v>0.0</v>
      </c>
      <c r="G22" s="23" t="s">
        <v>58</v>
      </c>
    </row>
    <row r="23" ht="30.0" customHeight="1">
      <c r="A23" s="22" t="s">
        <v>54</v>
      </c>
      <c r="B23" s="22" t="s">
        <v>65</v>
      </c>
      <c r="C23" s="23" t="s">
        <v>66</v>
      </c>
      <c r="D23" s="23" t="s">
        <v>67</v>
      </c>
      <c r="E23" s="24">
        <v>1.0</v>
      </c>
      <c r="F23" s="24">
        <v>0.0</v>
      </c>
      <c r="G23" s="23" t="s">
        <v>58</v>
      </c>
    </row>
    <row r="24" ht="30.0" customHeight="1">
      <c r="A24" s="25" t="s">
        <v>68</v>
      </c>
      <c r="B24" s="25" t="s">
        <v>69</v>
      </c>
      <c r="C24" s="26" t="s">
        <v>70</v>
      </c>
      <c r="D24" s="26" t="s">
        <v>71</v>
      </c>
      <c r="E24" s="27">
        <v>1.0</v>
      </c>
      <c r="F24" s="27">
        <v>0.0</v>
      </c>
      <c r="G24" s="26" t="s">
        <v>58</v>
      </c>
    </row>
    <row r="25" ht="30.0" customHeight="1">
      <c r="A25" s="25" t="s">
        <v>68</v>
      </c>
      <c r="B25" s="25" t="s">
        <v>72</v>
      </c>
      <c r="C25" s="26" t="s">
        <v>73</v>
      </c>
      <c r="D25" s="26" t="s">
        <v>74</v>
      </c>
      <c r="E25" s="27">
        <v>3.0</v>
      </c>
      <c r="F25" s="27">
        <v>0.0</v>
      </c>
      <c r="G25" s="26" t="s">
        <v>58</v>
      </c>
    </row>
    <row r="26" ht="30.0" customHeight="1">
      <c r="A26" s="25" t="s">
        <v>68</v>
      </c>
      <c r="B26" s="25" t="s">
        <v>75</v>
      </c>
      <c r="C26" s="26" t="s">
        <v>76</v>
      </c>
      <c r="D26" s="26" t="s">
        <v>61</v>
      </c>
      <c r="E26" s="27">
        <v>1.0</v>
      </c>
      <c r="F26" s="27">
        <v>0.0</v>
      </c>
      <c r="G26" s="26" t="s">
        <v>58</v>
      </c>
    </row>
    <row r="27" ht="30.0" customHeight="1">
      <c r="A27" s="25" t="s">
        <v>68</v>
      </c>
      <c r="B27" s="25" t="s">
        <v>77</v>
      </c>
      <c r="C27" s="26" t="s">
        <v>78</v>
      </c>
      <c r="D27" s="26" t="s">
        <v>64</v>
      </c>
      <c r="E27" s="27">
        <v>3.0</v>
      </c>
      <c r="F27" s="27">
        <v>0.0</v>
      </c>
      <c r="G27" s="26" t="s">
        <v>58</v>
      </c>
    </row>
    <row r="28" ht="30.0" customHeight="1">
      <c r="A28" s="25" t="s">
        <v>68</v>
      </c>
      <c r="B28" s="25" t="s">
        <v>79</v>
      </c>
      <c r="C28" s="26" t="s">
        <v>80</v>
      </c>
      <c r="D28" s="26" t="s">
        <v>57</v>
      </c>
      <c r="E28" s="27">
        <v>1.0</v>
      </c>
      <c r="F28" s="27">
        <v>1.0</v>
      </c>
      <c r="G28" s="26" t="s">
        <v>81</v>
      </c>
    </row>
    <row r="29" ht="30.0" customHeight="1">
      <c r="A29" s="28" t="s">
        <v>82</v>
      </c>
      <c r="B29" s="28" t="s">
        <v>83</v>
      </c>
      <c r="C29" s="29" t="s">
        <v>84</v>
      </c>
      <c r="D29" s="29" t="s">
        <v>57</v>
      </c>
      <c r="E29" s="30">
        <v>2.0</v>
      </c>
      <c r="F29" s="30">
        <v>2.0</v>
      </c>
      <c r="G29" s="29" t="s">
        <v>85</v>
      </c>
    </row>
    <row r="30" ht="30.0" customHeight="1">
      <c r="A30" s="28" t="s">
        <v>82</v>
      </c>
      <c r="B30" s="28" t="s">
        <v>86</v>
      </c>
      <c r="C30" s="29" t="s">
        <v>87</v>
      </c>
      <c r="D30" s="29" t="s">
        <v>71</v>
      </c>
      <c r="E30" s="30">
        <v>1.0</v>
      </c>
      <c r="F30" s="30">
        <v>2.0</v>
      </c>
      <c r="G30" s="31" t="s">
        <v>85</v>
      </c>
    </row>
    <row r="31" ht="30.0" customHeight="1">
      <c r="A31" s="28" t="s">
        <v>82</v>
      </c>
      <c r="B31" s="28" t="s">
        <v>88</v>
      </c>
      <c r="C31" s="29" t="s">
        <v>89</v>
      </c>
      <c r="D31" s="29" t="s">
        <v>74</v>
      </c>
      <c r="E31" s="30">
        <v>2.0</v>
      </c>
      <c r="F31" s="30">
        <v>2.0</v>
      </c>
      <c r="G31" s="31" t="s">
        <v>85</v>
      </c>
    </row>
    <row r="32" ht="30.0" customHeight="1">
      <c r="A32" s="28" t="s">
        <v>82</v>
      </c>
      <c r="B32" s="28" t="s">
        <v>90</v>
      </c>
      <c r="C32" s="29" t="s">
        <v>91</v>
      </c>
      <c r="D32" s="29" t="s">
        <v>92</v>
      </c>
      <c r="E32" s="30">
        <v>0.5</v>
      </c>
      <c r="F32" s="30">
        <v>0.5</v>
      </c>
      <c r="G32" s="29" t="s">
        <v>85</v>
      </c>
    </row>
    <row r="33" ht="15.75" customHeight="1">
      <c r="A33" s="32" t="s">
        <v>93</v>
      </c>
      <c r="B33" s="33"/>
      <c r="C33" s="34" t="s">
        <v>94</v>
      </c>
      <c r="D33" s="33"/>
      <c r="E33" s="32">
        <f t="shared" ref="E33:F33" si="1">SUM(E20:E32)</f>
        <v>21.5</v>
      </c>
      <c r="F33" s="32">
        <f t="shared" si="1"/>
        <v>7.5</v>
      </c>
      <c r="G33" s="32"/>
    </row>
    <row r="34" ht="15.75" customHeight="1"/>
    <row r="35" ht="15.75" customHeight="1">
      <c r="A35" s="3" t="s">
        <v>95</v>
      </c>
    </row>
    <row r="36" ht="15.75" customHeight="1">
      <c r="A36" s="35" t="s">
        <v>85</v>
      </c>
      <c r="B36" s="9" t="s">
        <v>96</v>
      </c>
    </row>
    <row r="37" ht="15.75" customHeight="1">
      <c r="A37" s="36" t="s">
        <v>81</v>
      </c>
      <c r="B37" s="9" t="s">
        <v>97</v>
      </c>
    </row>
    <row r="38" ht="15.75" customHeight="1">
      <c r="A38" s="20" t="s">
        <v>98</v>
      </c>
      <c r="B38" s="9" t="s">
        <v>99</v>
      </c>
    </row>
    <row r="39" ht="15.75" customHeight="1">
      <c r="A39" s="19" t="s">
        <v>58</v>
      </c>
      <c r="B39" s="9" t="s">
        <v>100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71"/>
  </cols>
  <sheetData>
    <row r="1">
      <c r="A1" s="16" t="s">
        <v>101</v>
      </c>
    </row>
    <row r="2">
      <c r="A2" s="9" t="s">
        <v>102</v>
      </c>
    </row>
    <row r="4">
      <c r="A4" s="3" t="s">
        <v>103</v>
      </c>
      <c r="B4" s="9" t="s">
        <v>104</v>
      </c>
    </row>
    <row r="5">
      <c r="A5" s="3" t="s">
        <v>105</v>
      </c>
      <c r="B5" s="9" t="s">
        <v>106</v>
      </c>
    </row>
    <row r="7">
      <c r="A7" s="21" t="s">
        <v>107</v>
      </c>
      <c r="B7" s="21" t="s">
        <v>108</v>
      </c>
      <c r="C7" s="21" t="s">
        <v>109</v>
      </c>
      <c r="D7" s="21" t="s">
        <v>110</v>
      </c>
      <c r="E7" s="21" t="s">
        <v>111</v>
      </c>
    </row>
    <row r="8" ht="24.75" customHeight="1">
      <c r="A8" s="37" t="s">
        <v>112</v>
      </c>
      <c r="B8" s="38">
        <v>21.5</v>
      </c>
      <c r="C8" s="38">
        <v>21.5</v>
      </c>
      <c r="D8" s="39">
        <f t="shared" ref="D8:D12" si="1">C8-B8</f>
        <v>0</v>
      </c>
      <c r="E8" s="18" t="s">
        <v>113</v>
      </c>
    </row>
    <row r="9" ht="24.75" customHeight="1">
      <c r="A9" s="37" t="s">
        <v>114</v>
      </c>
      <c r="B9" s="39">
        <v>12.0</v>
      </c>
      <c r="C9" s="39">
        <v>11.0</v>
      </c>
      <c r="D9" s="39">
        <f t="shared" si="1"/>
        <v>-1</v>
      </c>
      <c r="E9" s="18" t="s">
        <v>115</v>
      </c>
    </row>
    <row r="10" ht="24.75" customHeight="1">
      <c r="A10" s="37" t="s">
        <v>116</v>
      </c>
      <c r="B10" s="38">
        <v>14.5</v>
      </c>
      <c r="C10" s="38">
        <v>12.0</v>
      </c>
      <c r="D10" s="39">
        <f t="shared" si="1"/>
        <v>-2.5</v>
      </c>
      <c r="E10" s="18" t="s">
        <v>117</v>
      </c>
    </row>
    <row r="11" ht="24.75" customHeight="1">
      <c r="A11" s="37" t="s">
        <v>118</v>
      </c>
      <c r="B11" s="38">
        <v>6.0</v>
      </c>
      <c r="C11" s="39">
        <v>3.0</v>
      </c>
      <c r="D11" s="39">
        <f t="shared" si="1"/>
        <v>-3</v>
      </c>
      <c r="E11" s="18" t="s">
        <v>119</v>
      </c>
    </row>
    <row r="12" ht="24.75" customHeight="1">
      <c r="A12" s="37" t="s">
        <v>120</v>
      </c>
      <c r="B12" s="38">
        <v>2.0</v>
      </c>
      <c r="C12" s="38">
        <v>0.0</v>
      </c>
      <c r="D12" s="39">
        <f t="shared" si="1"/>
        <v>-2</v>
      </c>
      <c r="E12" s="18" t="s">
        <v>121</v>
      </c>
    </row>
    <row r="15">
      <c r="A15" s="3" t="s">
        <v>122</v>
      </c>
      <c r="B15" s="7" t="s">
        <v>123</v>
      </c>
    </row>
    <row r="17">
      <c r="A17" s="3" t="s">
        <v>124</v>
      </c>
    </row>
    <row r="18">
      <c r="A18" s="19" t="s">
        <v>125</v>
      </c>
      <c r="B18" s="9" t="s">
        <v>126</v>
      </c>
    </row>
    <row r="19">
      <c r="A19" s="36" t="s">
        <v>127</v>
      </c>
      <c r="B19" s="9" t="s">
        <v>128</v>
      </c>
    </row>
    <row r="20">
      <c r="A20" s="19" t="s">
        <v>129</v>
      </c>
      <c r="B20" s="9" t="s">
        <v>130</v>
      </c>
    </row>
    <row r="21" ht="15.75" customHeight="1">
      <c r="A21" s="20" t="s">
        <v>131</v>
      </c>
      <c r="B21" s="9" t="s">
        <v>132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133</v>
      </c>
    </row>
    <row r="3">
      <c r="B3" s="9" t="s">
        <v>134</v>
      </c>
    </row>
    <row r="5">
      <c r="A5" s="21"/>
      <c r="B5" s="21" t="s">
        <v>135</v>
      </c>
      <c r="C5" s="21" t="s">
        <v>136</v>
      </c>
      <c r="D5" s="12" t="s">
        <v>137</v>
      </c>
    </row>
    <row r="6" ht="30.0" customHeight="1">
      <c r="B6" s="40" t="s">
        <v>138</v>
      </c>
      <c r="C6" s="41" t="s">
        <v>139</v>
      </c>
      <c r="D6" s="40" t="s">
        <v>140</v>
      </c>
    </row>
    <row r="7" ht="30.0" customHeight="1">
      <c r="B7" s="40" t="s">
        <v>141</v>
      </c>
      <c r="C7" s="41" t="s">
        <v>139</v>
      </c>
      <c r="D7" s="40" t="s">
        <v>142</v>
      </c>
    </row>
    <row r="8" ht="30.0" customHeight="1">
      <c r="B8" s="40" t="s">
        <v>143</v>
      </c>
      <c r="C8" s="41" t="s">
        <v>139</v>
      </c>
      <c r="D8" s="40" t="s">
        <v>144</v>
      </c>
    </row>
    <row r="9" ht="30.0" customHeight="1">
      <c r="B9" s="40" t="s">
        <v>145</v>
      </c>
      <c r="C9" s="41" t="s">
        <v>139</v>
      </c>
      <c r="D9" s="40" t="s">
        <v>146</v>
      </c>
    </row>
    <row r="10" ht="30.0" customHeight="1">
      <c r="B10" s="40" t="s">
        <v>147</v>
      </c>
      <c r="C10" s="41" t="s">
        <v>139</v>
      </c>
      <c r="D10" s="40" t="s">
        <v>148</v>
      </c>
    </row>
    <row r="11" ht="30.0" customHeight="1">
      <c r="B11" s="40" t="s">
        <v>149</v>
      </c>
      <c r="C11" s="41" t="s">
        <v>139</v>
      </c>
      <c r="D11" s="40" t="s">
        <v>150</v>
      </c>
    </row>
    <row r="12" ht="30.0" customHeight="1">
      <c r="B12" s="40" t="s">
        <v>151</v>
      </c>
      <c r="C12" s="41" t="s">
        <v>139</v>
      </c>
      <c r="D12" s="40" t="s">
        <v>152</v>
      </c>
    </row>
    <row r="13" ht="30.0" customHeight="1">
      <c r="B13" s="40" t="s">
        <v>153</v>
      </c>
      <c r="C13" s="41" t="s">
        <v>139</v>
      </c>
      <c r="D13" s="40" t="s">
        <v>154</v>
      </c>
    </row>
    <row r="14" ht="30.0" customHeight="1">
      <c r="B14" s="40" t="s">
        <v>155</v>
      </c>
      <c r="C14" s="41" t="s">
        <v>139</v>
      </c>
      <c r="D14" s="40" t="s">
        <v>156</v>
      </c>
    </row>
    <row r="15" ht="30.0" customHeight="1">
      <c r="B15" s="40" t="s">
        <v>157</v>
      </c>
      <c r="C15" s="41" t="s">
        <v>139</v>
      </c>
      <c r="D15" s="40" t="s">
        <v>158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